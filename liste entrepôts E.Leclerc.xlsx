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tyom.sharepoint.com/sites/ETYO-PROJETS2025/Documents partages/Général/2025LS/25010LS SCAPARF (POW)/03 - FICHIERS ET ANALYSES/7 - APS/Phase1 - OP externe/Barycentrage/Arthur/"/>
    </mc:Choice>
  </mc:AlternateContent>
  <xr:revisionPtr revIDLastSave="92" documentId="8_{C783A266-2222-4915-B37E-6C975EAC86BE}" xr6:coauthVersionLast="47" xr6:coauthVersionMax="47" xr10:uidLastSave="{F50C0ADF-9462-4963-8559-C8541A8EF9E5}"/>
  <bookViews>
    <workbookView xWindow="-110" yWindow="-110" windowWidth="25820" windowHeight="15500" xr2:uid="{00000000-000D-0000-FFFF-FFFF00000000}"/>
  </bookViews>
  <sheets>
    <sheet name="recap" sheetId="7" r:id="rId1"/>
    <sheet name="Feuil1" sheetId="9" r:id="rId2"/>
    <sheet name="Feuil3" sheetId="8" r:id="rId3"/>
    <sheet name="Infrastructures 2023" sheetId="5" r:id="rId4"/>
    <sheet name="adresses 2021" sheetId="1" state="hidden" r:id="rId5"/>
  </sheets>
  <definedNames>
    <definedName name="_xlnm._FilterDatabase" localSheetId="3" hidden="1">'Infrastructures 2023'!$A$1:$R$132</definedName>
    <definedName name="Liste_des_entrepôts" localSheetId="4">'adresses 2021'!#REF!</definedName>
    <definedName name="Liste_des_entrepôts_1" localSheetId="4">'adresses 2021'!#REF!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7" l="1"/>
  <c r="D19" i="7"/>
  <c r="D17" i="7"/>
  <c r="D16" i="7"/>
  <c r="D14" i="7"/>
  <c r="D13" i="7"/>
  <c r="D10" i="7"/>
  <c r="E2" i="7"/>
  <c r="D3" i="7"/>
  <c r="D4" i="7"/>
  <c r="D5" i="7"/>
  <c r="D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2" i="7"/>
  <c r="E3" i="7"/>
  <c r="E4" i="7"/>
  <c r="E5" i="7"/>
  <c r="E6" i="7"/>
  <c r="E9" i="7"/>
  <c r="E10" i="7"/>
  <c r="E11" i="7"/>
  <c r="E12" i="7"/>
  <c r="E13" i="7"/>
  <c r="E14" i="7"/>
  <c r="E16" i="7"/>
  <c r="E17" i="7"/>
  <c r="E19" i="7"/>
  <c r="E20" i="7"/>
  <c r="E21" i="7"/>
  <c r="E22" i="7"/>
  <c r="E23" i="7"/>
  <c r="E24" i="7"/>
  <c r="E25" i="7"/>
  <c r="E27" i="7"/>
  <c r="E28" i="7"/>
  <c r="E32" i="7"/>
  <c r="N125" i="5"/>
  <c r="M125" i="5"/>
  <c r="M123" i="5"/>
  <c r="M122" i="5"/>
  <c r="M87" i="5"/>
  <c r="F13" i="7" a="1"/>
  <c r="G5" i="7" a="1"/>
  <c r="F24" i="7" a="1"/>
  <c r="F23" i="7" a="1"/>
  <c r="G4" i="7" a="1"/>
  <c r="F32" i="7" a="1"/>
  <c r="F27" i="7" a="1"/>
  <c r="F11" i="7" a="1"/>
  <c r="G12" i="7" a="1"/>
  <c r="G31" i="7" a="1"/>
  <c r="G24" i="7" a="1"/>
  <c r="F16" i="7" a="1"/>
  <c r="G14" i="7" a="1"/>
  <c r="F25" i="7" a="1"/>
  <c r="G2" i="7" a="1"/>
  <c r="G8" i="7" a="1"/>
  <c r="F5" i="7" a="1"/>
  <c r="F21" i="7" a="1"/>
  <c r="G30" i="7" a="1"/>
  <c r="G13" i="7" a="1"/>
  <c r="F14" i="7" a="1"/>
  <c r="G6" i="7" a="1"/>
  <c r="G21" i="7" a="1"/>
  <c r="G16" i="7" a="1"/>
  <c r="G19" i="7" a="1"/>
  <c r="F9" i="7" a="1"/>
  <c r="F20" i="7" a="1"/>
  <c r="F10" i="7" a="1"/>
  <c r="F2" i="7" a="1"/>
  <c r="G11" i="7" a="1"/>
  <c r="G23" i="7" a="1"/>
  <c r="F6" i="7" a="1"/>
  <c r="F19" i="7" a="1"/>
  <c r="G27" i="7" a="1"/>
  <c r="G10" i="7" a="1"/>
  <c r="G22" i="7" a="1"/>
  <c r="F12" i="7" a="1"/>
  <c r="G25" i="7" a="1"/>
  <c r="G9" i="7" a="1"/>
  <c r="F7" i="7" a="1"/>
  <c r="G32" i="7" a="1"/>
  <c r="F22" i="7" a="1"/>
  <c r="F4" i="7" a="1"/>
  <c r="F31" i="7" a="1"/>
  <c r="G20" i="7" a="1"/>
  <c r="G24" i="7" l="1"/>
  <c r="G23" i="7"/>
  <c r="G32" i="7"/>
  <c r="G20" i="7"/>
  <c r="G30" i="7"/>
  <c r="G6" i="7"/>
  <c r="G13" i="7"/>
  <c r="G12" i="7"/>
  <c r="G11" i="7"/>
  <c r="G21" i="7"/>
  <c r="G9" i="7"/>
  <c r="G8" i="7"/>
  <c r="G27" i="7"/>
  <c r="G5" i="7"/>
  <c r="G4" i="7"/>
  <c r="G22" i="7"/>
  <c r="G10" i="7"/>
  <c r="G31" i="7"/>
  <c r="G19" i="7"/>
  <c r="G16" i="7"/>
  <c r="G25" i="7"/>
  <c r="G14" i="7"/>
  <c r="G2" i="7"/>
  <c r="F27" i="7"/>
  <c r="F5" i="7"/>
  <c r="F25" i="7"/>
  <c r="F14" i="7"/>
  <c r="F24" i="7"/>
  <c r="F23" i="7"/>
  <c r="F12" i="7"/>
  <c r="F22" i="7"/>
  <c r="F11" i="7"/>
  <c r="F32" i="7"/>
  <c r="F21" i="7"/>
  <c r="F10" i="7"/>
  <c r="F31" i="7"/>
  <c r="F20" i="7"/>
  <c r="F9" i="7"/>
  <c r="F6" i="7"/>
  <c r="F16" i="7"/>
  <c r="F4" i="7"/>
  <c r="F13" i="7"/>
  <c r="F19" i="7"/>
  <c r="F7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ste des entrepôts" type="6" refreshedVersion="4" background="1">
    <textPr sourceFile="C:\Users\ltheodet\Desktop\Liste des entrepôts.txt" decimal="," thousands=" ">
      <textFields>
        <textField/>
      </textFields>
    </textPr>
  </connection>
  <connection id="2" xr16:uid="{00000000-0015-0000-FFFF-FFFF01000000}" name="Liste des entrepôts1" type="6" refreshedVersion="4" background="1">
    <textPr sourceFile="C:\Users\ltheodet\Desktop\Liste des entrepôts.txt" decimal="," thousands=" " space="1" comma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<sst xmlns="http://schemas.openxmlformats.org/spreadsheetml/2006/main" count="2393" uniqueCount="1163">
  <si>
    <t>Entrepôt Lieu fonction</t>
  </si>
  <si>
    <t>Entrepôt</t>
  </si>
  <si>
    <t>Entrepôt Adr 1</t>
  </si>
  <si>
    <t>entrepôt Adr 2</t>
  </si>
  <si>
    <t xml:space="preserve"> entrepôt CP</t>
  </si>
  <si>
    <t xml:space="preserve">entrepôt Ville </t>
  </si>
  <si>
    <t>Tel entrepôt</t>
  </si>
  <si>
    <t>REIMS</t>
  </si>
  <si>
    <t>PLAILLY</t>
  </si>
  <si>
    <t>TESSAPACK</t>
  </si>
  <si>
    <t>CONAD</t>
  </si>
  <si>
    <t>COOPLECNORTE</t>
  </si>
  <si>
    <t>3770-305</t>
  </si>
  <si>
    <t>CANEJAN</t>
  </si>
  <si>
    <t>6300-035</t>
  </si>
  <si>
    <t>GUARDA</t>
  </si>
  <si>
    <t>CABANNES</t>
  </si>
  <si>
    <t>LECASUD</t>
  </si>
  <si>
    <t>SORGUES</t>
  </si>
  <si>
    <t>LECASUD-CABANNES</t>
  </si>
  <si>
    <t>CAVAILLON</t>
  </si>
  <si>
    <t>MIRAMAS</t>
  </si>
  <si>
    <t>PGC</t>
  </si>
  <si>
    <t>SURGELES</t>
  </si>
  <si>
    <t>MEDIAPOST-83</t>
  </si>
  <si>
    <t>04.32.52.95.53</t>
  </si>
  <si>
    <t>SCA_BBJ_NORD</t>
  </si>
  <si>
    <t>+33(2)31314436</t>
  </si>
  <si>
    <t>SCABER</t>
  </si>
  <si>
    <t>MADRID</t>
  </si>
  <si>
    <t>SCACENTRE</t>
  </si>
  <si>
    <t>SAINT-POURCAIN</t>
  </si>
  <si>
    <t>Yzeure</t>
  </si>
  <si>
    <t>MAGNET</t>
  </si>
  <si>
    <t>04-70-30-15-81</t>
  </si>
  <si>
    <t>SCACHAP</t>
  </si>
  <si>
    <t>RUFFEC</t>
  </si>
  <si>
    <t>SCADIF</t>
  </si>
  <si>
    <t>SCADIF-CAUDRON</t>
  </si>
  <si>
    <t>STANDARD</t>
  </si>
  <si>
    <t>RUNGIS</t>
  </si>
  <si>
    <t>LIEUSAINT</t>
  </si>
  <si>
    <t>SCALANDES</t>
  </si>
  <si>
    <t>+33(5)59315757</t>
  </si>
  <si>
    <t>SCANORMANDE</t>
  </si>
  <si>
    <t>LISIEUX</t>
  </si>
  <si>
    <t>EUROLOGISTIC</t>
  </si>
  <si>
    <t>MONDEVILLE</t>
  </si>
  <si>
    <t>+33(0)231358535</t>
  </si>
  <si>
    <t>AUBEVOYE</t>
  </si>
  <si>
    <t>GRENTHEVILLE</t>
  </si>
  <si>
    <t>SANDOUVILLE</t>
  </si>
  <si>
    <t>OUDALLE</t>
  </si>
  <si>
    <t>VERSON</t>
  </si>
  <si>
    <t>02.31.26.37.20</t>
  </si>
  <si>
    <t>IFS</t>
  </si>
  <si>
    <t>BEUVILLERS-LISIEUX</t>
  </si>
  <si>
    <t>SCAOUEST</t>
  </si>
  <si>
    <t>SCAOUEST-ADREXO</t>
  </si>
  <si>
    <t>VERTOU</t>
  </si>
  <si>
    <t>SCAOUEST-MEDIAPOST-44</t>
  </si>
  <si>
    <t>CARQUEFOU</t>
  </si>
  <si>
    <t>CREMERIE</t>
  </si>
  <si>
    <t>ALIMENTAIRE</t>
  </si>
  <si>
    <t>ALCOOLS</t>
  </si>
  <si>
    <t>GROUPAGES</t>
  </si>
  <si>
    <t>SCAPALSACE</t>
  </si>
  <si>
    <t>REICHSTETT</t>
  </si>
  <si>
    <t>03.88.19.78.00</t>
  </si>
  <si>
    <t>COLMAR</t>
  </si>
  <si>
    <t>+33(3)89211621</t>
  </si>
  <si>
    <t>+33(3)89487453</t>
  </si>
  <si>
    <t>NIEDERHERGHEIM</t>
  </si>
  <si>
    <t>SCAPSAV</t>
  </si>
  <si>
    <t>LURE</t>
  </si>
  <si>
    <t>DAMBACH-LA-VILLE</t>
  </si>
  <si>
    <t>SCAPARF</t>
  </si>
  <si>
    <t>NEUVILLE-AUX-BOIS</t>
  </si>
  <si>
    <t>ONNAING</t>
  </si>
  <si>
    <t>RESSONS-SUR-MATZ</t>
  </si>
  <si>
    <t>SCAPARTOIS</t>
  </si>
  <si>
    <t>LAUWIN-PLANQUE</t>
  </si>
  <si>
    <t>+33(3)21241616</t>
  </si>
  <si>
    <t>+33(3)21504626</t>
  </si>
  <si>
    <t>BP9</t>
  </si>
  <si>
    <t>+33(0)325711432</t>
  </si>
  <si>
    <t>SCAPEST</t>
  </si>
  <si>
    <t>BETHENY</t>
  </si>
  <si>
    <t>CHAMPAGNE</t>
  </si>
  <si>
    <t>+33(3)26692865</t>
  </si>
  <si>
    <t>ENNERY</t>
  </si>
  <si>
    <t>RECY</t>
  </si>
  <si>
    <t>VATRY</t>
  </si>
  <si>
    <t>+33(3)26269469</t>
  </si>
  <si>
    <t>FLEVILLE-LES-NANCY</t>
  </si>
  <si>
    <t>SCAPNOR</t>
  </si>
  <si>
    <t>+33(1)30286876</t>
  </si>
  <si>
    <t>SCARMOR</t>
  </si>
  <si>
    <t>SCARMOR-MEDIAPOST-29</t>
  </si>
  <si>
    <t>GUIPAVAS</t>
  </si>
  <si>
    <t>PLOUDANIEL</t>
  </si>
  <si>
    <t>LANDIVISIAU</t>
  </si>
  <si>
    <t>Rennes</t>
  </si>
  <si>
    <t>CHARCOT</t>
  </si>
  <si>
    <t>PLAINTEL</t>
  </si>
  <si>
    <t>LORIENT</t>
  </si>
  <si>
    <t>02.97.83.94.00</t>
  </si>
  <si>
    <t>SCASO</t>
  </si>
  <si>
    <t>BEYCHAC</t>
  </si>
  <si>
    <t>Beychac</t>
  </si>
  <si>
    <t>SCAWAR</t>
  </si>
  <si>
    <t>SALOME</t>
  </si>
  <si>
    <t>Carvin</t>
  </si>
  <si>
    <t>SOCHACZEW</t>
  </si>
  <si>
    <t>96-500</t>
  </si>
  <si>
    <t>WARSZAWA</t>
  </si>
  <si>
    <t>02-231</t>
  </si>
  <si>
    <t>95-006</t>
  </si>
  <si>
    <t>BROJCE</t>
  </si>
  <si>
    <t>00-48-42-29-19-143</t>
  </si>
  <si>
    <t>Reguly</t>
  </si>
  <si>
    <t>SOCAMAINE</t>
  </si>
  <si>
    <t>socamaine</t>
  </si>
  <si>
    <t>SOULITRE</t>
  </si>
  <si>
    <t>SOCAMIL</t>
  </si>
  <si>
    <t>TOURNEFEUILLE</t>
  </si>
  <si>
    <t>GRISOLLES</t>
  </si>
  <si>
    <t>Tournefeuille</t>
  </si>
  <si>
    <t>SOCARA</t>
  </si>
  <si>
    <t>VILETTE-DANTHON</t>
  </si>
  <si>
    <t>VILLETTE-DANTHON</t>
  </si>
  <si>
    <t>VERALEC</t>
  </si>
  <si>
    <t>05.57.69.35.57</t>
  </si>
  <si>
    <t>BT LEC EST</t>
  </si>
  <si>
    <t>RUE DES MOISSONS</t>
  </si>
  <si>
    <t>Parc dactivite WITRY CAUREL</t>
  </si>
  <si>
    <t>WITRY LES REIMS</t>
  </si>
  <si>
    <t>03 26 87 75 77</t>
  </si>
  <si>
    <t xml:space="preserve">BT LEC EST </t>
  </si>
  <si>
    <t>BT LEC OUEST</t>
  </si>
  <si>
    <t>ID CONDITIONNEMENT</t>
  </si>
  <si>
    <t>Route de Cordemais</t>
  </si>
  <si>
    <t>ZA DU PRE DE LA DAME JENNE</t>
  </si>
  <si>
    <t>ZI NOVILLIERS LES CAILLOUX</t>
  </si>
  <si>
    <t>SAINT ETIENNE DE MONTLUC</t>
  </si>
  <si>
    <t>SAINTE GENEVIEVE</t>
  </si>
  <si>
    <t>02 40 85 10 10</t>
  </si>
  <si>
    <t>03 44 63 46 42</t>
  </si>
  <si>
    <t>CONAD MARCONI FREDDEUROPA</t>
  </si>
  <si>
    <t>CONAD co GEODIS LOGISTICS SP</t>
  </si>
  <si>
    <t>Fraz. CHIUSA FERRANDA</t>
  </si>
  <si>
    <t>magazzino BSL S.p.A.</t>
  </si>
  <si>
    <t>LOC. CASTELLETTO</t>
  </si>
  <si>
    <t>Via Dogana Po 2 A</t>
  </si>
  <si>
    <t>I 43036</t>
  </si>
  <si>
    <t>I 29015</t>
  </si>
  <si>
    <t>FIDENZA (PR)</t>
  </si>
  <si>
    <t>CASTEL SAN GIOVANI</t>
  </si>
  <si>
    <t>+390524071020</t>
  </si>
  <si>
    <t>+390523735003</t>
  </si>
  <si>
    <t>COOPLECNORTE CHEZ OLANO CANEJA</t>
  </si>
  <si>
    <t>COOPLECNORTE LOGISTIQUE</t>
  </si>
  <si>
    <t>SURGELE - OLANO</t>
  </si>
  <si>
    <t>ZONA INDUSTRIAL DE VILA VERDE</t>
  </si>
  <si>
    <t>ZA ACTIPOLIS</t>
  </si>
  <si>
    <t>Plataforma Logistica Da Guarda</t>
  </si>
  <si>
    <t>LOTE Numero 1</t>
  </si>
  <si>
    <t>7, rue Louise Weiss</t>
  </si>
  <si>
    <t>Lote 141, Apartado 1081</t>
  </si>
  <si>
    <t>OLIVEIRA DO BAIRRO</t>
  </si>
  <si>
    <t>00 351 22 716 97 80</t>
  </si>
  <si>
    <t>+33 (5) 57 35 61 65</t>
  </si>
  <si>
    <t>00 351 271 20 05 90</t>
  </si>
  <si>
    <t>ZAC des plaines</t>
  </si>
  <si>
    <t>LECASUD-QUATRE SAISONS</t>
  </si>
  <si>
    <t>ADREXO AD PRODUCTION</t>
  </si>
  <si>
    <t>LECASUD ALCOOL</t>
  </si>
  <si>
    <t>LECASUD BAZAR</t>
  </si>
  <si>
    <t>LECASUD CABEDAN 1</t>
  </si>
  <si>
    <t>LECASUD CABEDAN 3</t>
  </si>
  <si>
    <t>LECASUD Christian SALVESEN SA</t>
  </si>
  <si>
    <t>LECASUD EPI/DPH ECLATEMENT</t>
  </si>
  <si>
    <t>LECASUD EPI/DPH PERMANENT</t>
  </si>
  <si>
    <t>LECASUD FRAIS</t>
  </si>
  <si>
    <t>LECASUD LIQUIDE</t>
  </si>
  <si>
    <t>LECASUD MIRAMAS</t>
  </si>
  <si>
    <t>LECASUD PGC Entrepot La fleche</t>
  </si>
  <si>
    <t>LECASUD SALON</t>
  </si>
  <si>
    <t>LECASUD SURGELES</t>
  </si>
  <si>
    <t>Plateforme frais ID Logistis</t>
  </si>
  <si>
    <t>ZA ST ANNE EST</t>
  </si>
  <si>
    <t>ZAC DES PLAINES</t>
  </si>
  <si>
    <t>Z.I. LES LAUVES</t>
  </si>
  <si>
    <t>chez ID LOGISTICS</t>
  </si>
  <si>
    <t>735 av 1ere division blindee</t>
  </si>
  <si>
    <t>ZI de la GANDONNE</t>
  </si>
  <si>
    <t>XPO Supply Chain - BAT 11</t>
  </si>
  <si>
    <t>220 allee Marie MAURON</t>
  </si>
  <si>
    <t>50 rue Nicolas Joseph Cugnot</t>
  </si>
  <si>
    <t>ZI TOULON EST</t>
  </si>
  <si>
    <t>Activite LECASUD</t>
  </si>
  <si>
    <t>QUAI 35 à 40</t>
  </si>
  <si>
    <t>Chemin du mas de marteau</t>
  </si>
  <si>
    <t>QUAI 60 AU 63</t>
  </si>
  <si>
    <t>QUAI 70 AU 75</t>
  </si>
  <si>
    <t>131 avenue de Vidauque</t>
  </si>
  <si>
    <t>Za bords de Durance</t>
  </si>
  <si>
    <t>Rue du Remoulaire</t>
  </si>
  <si>
    <t>QUAI 21 AU 29</t>
  </si>
  <si>
    <t>QUAI 80 AU 92</t>
  </si>
  <si>
    <t>QUAI 60 - 63 ET 70 - 73</t>
  </si>
  <si>
    <t>ZAC de CLESUD</t>
  </si>
  <si>
    <t>ZAC des bords de la Durance</t>
  </si>
  <si>
    <t>ZAC de la CRAU</t>
  </si>
  <si>
    <t>QUAI 93</t>
  </si>
  <si>
    <t>560 avenue LAVOISIER</t>
  </si>
  <si>
    <t>LE LUC</t>
  </si>
  <si>
    <t>SALON DE PROVENCE</t>
  </si>
  <si>
    <t>Salon de Provence</t>
  </si>
  <si>
    <t>LA FARLEDE</t>
  </si>
  <si>
    <t>04 32 60 60 20</t>
  </si>
  <si>
    <t>04 90 17 03 03</t>
  </si>
  <si>
    <t>06 11 28 12 43</t>
  </si>
  <si>
    <t>LECASUD - 3025730000103 - (17 entrepôts)</t>
  </si>
  <si>
    <t>LECASUD-QUATRE SAISONS - 3025730635008 - (1 entrepôt)</t>
  </si>
  <si>
    <t>COOPLECNORTE - 5600000024577 - (4 entrepôts)</t>
  </si>
  <si>
    <t>CONAD - 8003170000001 - (2 entrepôts)</t>
  </si>
  <si>
    <t>BT LEC OUEST - 3017601051505 - (3 entrepôts)</t>
  </si>
  <si>
    <t>BT LEC EST - 3016607930104 - (1 entrepôt)</t>
  </si>
  <si>
    <t>BBJ SUD OUEST</t>
  </si>
  <si>
    <t>entite</t>
  </si>
  <si>
    <t>desi complete</t>
  </si>
  <si>
    <t>SCA_BBJ_NORD - 3025740000400 - (2 entrepôts)</t>
  </si>
  <si>
    <t>SCA BBJ-NORD</t>
  </si>
  <si>
    <t>TCP DISTRIBUTION</t>
  </si>
  <si>
    <t>113 rue DAuxerre</t>
  </si>
  <si>
    <t>ST ANDRE LES VERGERS</t>
  </si>
  <si>
    <t>St ANDRE LES VERGERS</t>
  </si>
  <si>
    <t>SCABER - 8430490000006 - (4 entrepôts)</t>
  </si>
  <si>
    <t>SCABER - CEFRUSA S.FRIGO</t>
  </si>
  <si>
    <t>SCABER - Sesena</t>
  </si>
  <si>
    <t>SCABER chez OLANO CANEJAN</t>
  </si>
  <si>
    <t>SCABER SCAI</t>
  </si>
  <si>
    <t>MERCAMADRID Eje 27 C5 - C10</t>
  </si>
  <si>
    <t>SCABER chez Truck et Wheel</t>
  </si>
  <si>
    <t>Plataforma E-LECLERC</t>
  </si>
  <si>
    <t>Polig.Indus Cuesta de la Reina</t>
  </si>
  <si>
    <t>Polígono Industrial Trobajo de</t>
  </si>
  <si>
    <t>Sesena Toledo</t>
  </si>
  <si>
    <t>Trobajo del Camino Leon</t>
  </si>
  <si>
    <t>+34914841770</t>
  </si>
  <si>
    <t>SCACENTRE - 3025760000104 - (5 entrepôts)</t>
  </si>
  <si>
    <t>SCACENTRE JACQUES COEUR</t>
  </si>
  <si>
    <t>SCACENTRE PRINCIPAL</t>
  </si>
  <si>
    <t>SCACENTRE Transports THEVENET</t>
  </si>
  <si>
    <t>THEVENET SCACENTRE SURGELE</t>
  </si>
  <si>
    <t>ZA Les Jalfrettes</t>
  </si>
  <si>
    <t>08 Rue Jacques Coeur</t>
  </si>
  <si>
    <t>27 Rue de l Arsenal</t>
  </si>
  <si>
    <t>ZA des landelles</t>
  </si>
  <si>
    <t>Rue du sergent Bourdeaux</t>
  </si>
  <si>
    <t>CREUZIER LE VIEUX</t>
  </si>
  <si>
    <t>SCACHAP - 3025710000109 - (3 entrepôts)</t>
  </si>
  <si>
    <t>SCACHAP BRASSERIE</t>
  </si>
  <si>
    <t>SCACHAP MAREE</t>
  </si>
  <si>
    <t>Z.I. DE LA GARE</t>
  </si>
  <si>
    <t>ZI N03</t>
  </si>
  <si>
    <t>215 Quai du midi</t>
  </si>
  <si>
    <t>Rue de l Isle d Espagnac</t>
  </si>
  <si>
    <t>Port de peche chef de baie</t>
  </si>
  <si>
    <t>GOND PONTOUVRE</t>
  </si>
  <si>
    <t>LA ROCHELLE</t>
  </si>
  <si>
    <t>SCADIF - 3020730000108 - (14 entrepôts)</t>
  </si>
  <si>
    <t>SCADIF ACCUEIL</t>
  </si>
  <si>
    <t>SCADIF ALCOOL</t>
  </si>
  <si>
    <t>SCADIF BAZAR-TEXTILE PERMANENT</t>
  </si>
  <si>
    <t>SCADIF DPH</t>
  </si>
  <si>
    <t>SCADIF EPICERIE</t>
  </si>
  <si>
    <t>SCADIF FARGIER FRAIS</t>
  </si>
  <si>
    <t>SCADIF FRAIS ET ULTRA-FRAIS</t>
  </si>
  <si>
    <t>SCADIF FRUITS-LEG-PATISS-OEUFS</t>
  </si>
  <si>
    <t>SCADIF LA FLECHE BLEUE</t>
  </si>
  <si>
    <t>SCADIF LIQUIDE</t>
  </si>
  <si>
    <t>SCADIF PROMO</t>
  </si>
  <si>
    <t>SCADIF SURGELES</t>
  </si>
  <si>
    <t>SCADIF TRACT BRASSERIE</t>
  </si>
  <si>
    <t>42 rue des COMMUNES de PARIS</t>
  </si>
  <si>
    <t>Z.I. DE L INDUSTRIE</t>
  </si>
  <si>
    <t>73 Rue Industrie</t>
  </si>
  <si>
    <t>28, rue du Poitou</t>
  </si>
  <si>
    <t>ZAC Parisud</t>
  </si>
  <si>
    <t>23 rue du FER</t>
  </si>
  <si>
    <t>RECEPTION ALCOOL NIV. P10</t>
  </si>
  <si>
    <t>RECEPTION BAZAR NIV. P4</t>
  </si>
  <si>
    <t>RECEPTION PGC NIV. P5</t>
  </si>
  <si>
    <t>RECEPTION PGC NIV. P9</t>
  </si>
  <si>
    <t>boucherie, volaille,</t>
  </si>
  <si>
    <t>RECEPTION ULTRA-FRAIS NIV. P11</t>
  </si>
  <si>
    <t>QUAI 1 A 7</t>
  </si>
  <si>
    <t>1 bd du Luxembourg</t>
  </si>
  <si>
    <t>RECEPTION PGC NIV. P4</t>
  </si>
  <si>
    <t>GUERITEE DE SECURITE</t>
  </si>
  <si>
    <t>RECEPTION SURGELES. NIV. P11</t>
  </si>
  <si>
    <t>RECEPTION BRASS. NIV. P10</t>
  </si>
  <si>
    <t>BRETIGNY SUR ORGE</t>
  </si>
  <si>
    <t>SAVIGNY LE TEMPLE</t>
  </si>
  <si>
    <t>01 60 60 40 90</t>
  </si>
  <si>
    <t>SCACENTRE-TRANSPORTS COMBRONDE</t>
  </si>
  <si>
    <t>SCALANDES - 3020500000109 - (7 entrepôts)</t>
  </si>
  <si>
    <t>SCALANDES ARTEMIS</t>
  </si>
  <si>
    <t>SCALANDES SCA 2</t>
  </si>
  <si>
    <t>SCALANDES SCA 3</t>
  </si>
  <si>
    <t>SCALANDES SCA 5</t>
  </si>
  <si>
    <t>SCALANDES TDS</t>
  </si>
  <si>
    <t>SCALANDES TDS ANCIEN</t>
  </si>
  <si>
    <t>SCALANDES TFE LANDES PYRENEES</t>
  </si>
  <si>
    <t>Entrepôt SCA5</t>
  </si>
  <si>
    <t>ZA DE PEMEGAN</t>
  </si>
  <si>
    <t>ZA DE PEMEGNAN</t>
  </si>
  <si>
    <t>ZA DE MAMOURA</t>
  </si>
  <si>
    <t>CENTRE EUROPEEN DE FRET</t>
  </si>
  <si>
    <t>T. DOMINIQUE SALLABERRY TDS</t>
  </si>
  <si>
    <t>ZI D AURICE</t>
  </si>
  <si>
    <t>Z.A. de Mamoura</t>
  </si>
  <si>
    <t>BP 49</t>
  </si>
  <si>
    <t>CENTRE EUROP</t>
  </si>
  <si>
    <t>BP 7</t>
  </si>
  <si>
    <t>SAINT AVIT</t>
  </si>
  <si>
    <t>MONT DE MARSAN</t>
  </si>
  <si>
    <t>BAYONNE CEDEX</t>
  </si>
  <si>
    <t>SAINT SEVER</t>
  </si>
  <si>
    <t>05 58 05 51 32</t>
  </si>
  <si>
    <t>+33(5) 59 31 57 57</t>
  </si>
  <si>
    <t>05 58 05 37 37</t>
  </si>
  <si>
    <t>SCANORMANDE - 3025740000100 - (27 entrepôts)</t>
  </si>
  <si>
    <t>SCANORMANDE- EUROLOGISTIC 2</t>
  </si>
  <si>
    <t>SCANORMANDE - EIA AUBEVOYE</t>
  </si>
  <si>
    <t>SCANORMANDE - EUROLOGISTIC</t>
  </si>
  <si>
    <t>SCANORMANDE - EUROLOGISTIC 3</t>
  </si>
  <si>
    <t>SCANORMANDE - HESNAULT</t>
  </si>
  <si>
    <t>SCANORMANDE - SD LOG</t>
  </si>
  <si>
    <t>SCANORMANDE - SD LOG ancien</t>
  </si>
  <si>
    <t>SCANORMANDE - SLF</t>
  </si>
  <si>
    <t>SCANORMANDE - TFN Surgelés</t>
  </si>
  <si>
    <t>SCANORMANDE - ROSELIER</t>
  </si>
  <si>
    <t>SCANORMANDE 11 TR ROSELIER</t>
  </si>
  <si>
    <t>SCANORMANDE 21 TEXTILE-CHAUSS</t>
  </si>
  <si>
    <t>SCANORMANDE ARTEMIS</t>
  </si>
  <si>
    <t>SCANORMANDE CEDILEC PROLOGIS2</t>
  </si>
  <si>
    <t>SCANORMANDE ENT. 21 ECLATEMENT</t>
  </si>
  <si>
    <t>SCANORMANDE ENT.33 FL</t>
  </si>
  <si>
    <t>SCANORMANDE ENTR. 32 SURGELES</t>
  </si>
  <si>
    <t>SCANORMANDE ENTREPOT 21 BAZAR</t>
  </si>
  <si>
    <t>SCANORMANDE FRAIS</t>
  </si>
  <si>
    <t>SCANORMANDE TA RECEP. 1</t>
  </si>
  <si>
    <t>Z.I. DU NORD</t>
  </si>
  <si>
    <t>EUROLOGISTIC MONDEVILLE</t>
  </si>
  <si>
    <t>Zi Secteur A</t>
  </si>
  <si>
    <t>EUROLOGISTIC Mondeville</t>
  </si>
  <si>
    <t>ROUTE DES ALIZES</t>
  </si>
  <si>
    <t>Port 4939</t>
  </si>
  <si>
    <t>1 RUE DES 4 VENTS</t>
  </si>
  <si>
    <t>Boulevard clement ader</t>
  </si>
  <si>
    <t>CHEMIN DES LOGES</t>
  </si>
  <si>
    <t>ZA DES LONGS CLOS</t>
  </si>
  <si>
    <t>POLE ACTIVITES DE LA VALLEE</t>
  </si>
  <si>
    <t>POLE ACTIVITE DE LA VALLEE</t>
  </si>
  <si>
    <t>PARC DU HODE BAT8</t>
  </si>
  <si>
    <t>ZAC EST</t>
  </si>
  <si>
    <t>Rue Louis BLERIOT</t>
  </si>
  <si>
    <t>ZAC Est</t>
  </si>
  <si>
    <t>2 rue Newton</t>
  </si>
  <si>
    <t>Parc logistique du Pont</t>
  </si>
  <si>
    <t>BP 47</t>
  </si>
  <si>
    <t>ZAC objectif sud</t>
  </si>
  <si>
    <t>106 rue Paul CORNU</t>
  </si>
  <si>
    <t>RTE INDUSTRIELLE</t>
  </si>
  <si>
    <t>BP 43</t>
  </si>
  <si>
    <t>ST DESIR DE LISIEUX</t>
  </si>
  <si>
    <t>SAINT VIGOR DYMONVILLE</t>
  </si>
  <si>
    <t>+33(6) 15 54 65 75</t>
  </si>
  <si>
    <t>+33(0)2 35 55 45 75</t>
  </si>
  <si>
    <t>+33(2) 35 24 61 11</t>
  </si>
  <si>
    <t>+33(2) 31350938</t>
  </si>
  <si>
    <t>02 31 48 60 30</t>
  </si>
  <si>
    <t>+33 (0)2 35 26 29 84</t>
  </si>
  <si>
    <t>SCANORMANDE TA RECEP. 2</t>
  </si>
  <si>
    <t>SCANORMANDE TA RECEP. 3</t>
  </si>
  <si>
    <t>SCANORMANDE V V RECEP.8 HUILES</t>
  </si>
  <si>
    <t>SEAFRIGO produits frais</t>
  </si>
  <si>
    <t>SEAFRIGO produits frais ancien</t>
  </si>
  <si>
    <t>SEAFRIGO Produits surgeles</t>
  </si>
  <si>
    <t>POLE DACTIVITE LA VALLEE</t>
  </si>
  <si>
    <t>Batiment H</t>
  </si>
  <si>
    <t>Batiment F</t>
  </si>
  <si>
    <t>106 RUE PAUL CORNU</t>
  </si>
  <si>
    <t>Rue du pont 6</t>
  </si>
  <si>
    <t>Rue Marcel Rougeault</t>
  </si>
  <si>
    <t>LE HAVRE</t>
  </si>
  <si>
    <t>02 31 31 44 36</t>
  </si>
  <si>
    <t>+33(2) 35 24 77 55</t>
  </si>
  <si>
    <t>+33(2) 35 53 87 16</t>
  </si>
  <si>
    <t>SCAOUEST - 3025640000101 - (24 entrepôts)</t>
  </si>
  <si>
    <t>SCAOUEST REC 02 TEXT BAZ PERM</t>
  </si>
  <si>
    <t>SCAOUEST REC 03 FL PL PAT.IND</t>
  </si>
  <si>
    <t>SCAOUEST REC 69 GROUP LOGILEC</t>
  </si>
  <si>
    <t>SCAOUEST REC 70 PAL COMPLETE</t>
  </si>
  <si>
    <t>SCAOUEST REC 79 P COMP LOGILEC</t>
  </si>
  <si>
    <t>SCAOUEST RECEP 01 OP BAZAR</t>
  </si>
  <si>
    <t>SCAOUEST RECEP 04 SURGELES</t>
  </si>
  <si>
    <t>SCAOUEST RECEP 05 FRAIS</t>
  </si>
  <si>
    <t>SCAOUEST RECEP 11 LAIT</t>
  </si>
  <si>
    <t>SCAOUEST RECEP 16 ALLOTI PGC</t>
  </si>
  <si>
    <t>SCAOUEST RECEP 18 BAM (EGV)</t>
  </si>
  <si>
    <t>SCAOUEST RECEP 19 OP PGC</t>
  </si>
  <si>
    <t>SCAOUEST RECEP 21 FAV</t>
  </si>
  <si>
    <t>SCAOUEST RECEP 22</t>
  </si>
  <si>
    <t>SCAOUEST RECEP 24</t>
  </si>
  <si>
    <t>SCAOUEST RECEP 61 ALIMENTAIRE</t>
  </si>
  <si>
    <t>SCAOUEST RECEP 62 ALCOOL</t>
  </si>
  <si>
    <t>SCAOUEST RECEP 63 DPH</t>
  </si>
  <si>
    <t>SCAOUEST RECEP 64 LIQ NON ALC</t>
  </si>
  <si>
    <t>1 Allée de la MALADRIE</t>
  </si>
  <si>
    <t>10 rue du Nouveau BELE</t>
  </si>
  <si>
    <t>BAZAR PERMANENT - TEXTILE</t>
  </si>
  <si>
    <t>FRUITS - LEGUMES</t>
  </si>
  <si>
    <t>DEPOT 6</t>
  </si>
  <si>
    <t>Dépôt 7</t>
  </si>
  <si>
    <t>1 route de Cordemais</t>
  </si>
  <si>
    <t>ROUTE DE CORDEMAIS</t>
  </si>
  <si>
    <t>Billiais Deniaud</t>
  </si>
  <si>
    <t>DEPOT 1</t>
  </si>
  <si>
    <t>Route de CORDEMAIS</t>
  </si>
  <si>
    <t>DEPOT 2</t>
  </si>
  <si>
    <t>1 RTE DE CORDEMAIS</t>
  </si>
  <si>
    <t>DPH LIQUIDES BAZAR</t>
  </si>
  <si>
    <t>reception PGC SCAMARK</t>
  </si>
  <si>
    <t>1 Route de Cordemais</t>
  </si>
  <si>
    <t>St Etienne de Montluc</t>
  </si>
  <si>
    <t>VIGNEUX DE BRETAGNE</t>
  </si>
  <si>
    <t>ST ETIENNE DE MONTLUC</t>
  </si>
  <si>
    <t>SCAOUEST RECEP 65 EGV BRSA</t>
  </si>
  <si>
    <t>SCAOUEST RECEPT 68 SECOURS</t>
  </si>
  <si>
    <t>SCAOUEST RECEPTION 67 LAIT</t>
  </si>
  <si>
    <t>EGV - GROS VOLUMES</t>
  </si>
  <si>
    <t>SCAPALSACE - 3025750000000 - (13 entrepôts)</t>
  </si>
  <si>
    <t>COOP REICHSTETT - FRAIS</t>
  </si>
  <si>
    <t>COOP REICHSTETT BOUCH/CHAR.</t>
  </si>
  <si>
    <t>COOP REICHSTETT EPICERIE/LIQ.</t>
  </si>
  <si>
    <t>COOP REICHSTETT FRUITS ET LEG.</t>
  </si>
  <si>
    <t>SCAPALSACE-ENTREPOT ROUILLON</t>
  </si>
  <si>
    <t>SCAPALSACE-PRESTA FROID 68</t>
  </si>
  <si>
    <t>SCAPALSACE - DENIS PAPIN FRAIS</t>
  </si>
  <si>
    <t>SCAPALSACE - DENIS PAPIN SURG</t>
  </si>
  <si>
    <t>SCAPALSACE - NIEDERHERGHEIM</t>
  </si>
  <si>
    <t>SCAPALSACE ARTEMIS</t>
  </si>
  <si>
    <t>SCAPALSACE ENTREPOT HAUSMANN</t>
  </si>
  <si>
    <t>SCAPALSACE ENTREPOT WINCANTON</t>
  </si>
  <si>
    <t>ZI - Rue du Commerce</t>
  </si>
  <si>
    <t>Zi - Rue du Commerce</t>
  </si>
  <si>
    <t>ZONE INDUSTRIELLE NORD</t>
  </si>
  <si>
    <t>6 RUE GERARDMER</t>
  </si>
  <si>
    <t>ZONE ACTIVITE</t>
  </si>
  <si>
    <t>RUE HAUSSMANN</t>
  </si>
  <si>
    <t>Route de Herrlissheim</t>
  </si>
  <si>
    <t>ZI NORD</t>
  </si>
  <si>
    <t>3, ALLEE DU RHIN</t>
  </si>
  <si>
    <t>157 RUE DU LADHOF</t>
  </si>
  <si>
    <t>R.des platanes - ZI des cloyes</t>
  </si>
  <si>
    <t>4 RUE HAUSMANN</t>
  </si>
  <si>
    <t>LE SYNDICAT</t>
  </si>
  <si>
    <t>BURNHAUPT LE BAS</t>
  </si>
  <si>
    <t>03 69 71 62 39</t>
  </si>
  <si>
    <t>SCAPARF - 3020730000238 - (5 entrepôts)</t>
  </si>
  <si>
    <t>FM LOGISTIC NEUVILLE-AUX-BOIS</t>
  </si>
  <si>
    <t>Plateforme FM ONNAING</t>
  </si>
  <si>
    <t>SCAPARF - FM - RESSONS</t>
  </si>
  <si>
    <t>SITE FM LOGISTIC - SCAPARF 3</t>
  </si>
  <si>
    <t>ZAE Le point du Jour</t>
  </si>
  <si>
    <t>Plate-forme FM ONNAING</t>
  </si>
  <si>
    <t>RUE DE GOURNAY</t>
  </si>
  <si>
    <t>SCAPARF chez FM LOGISTIC</t>
  </si>
  <si>
    <t>RUE CHARLES MARIE RAVEL</t>
  </si>
  <si>
    <t>Parc dactivités de la Vallée</t>
  </si>
  <si>
    <t>RD 82</t>
  </si>
  <si>
    <t>Rue de Gournay, R.D. 82</t>
  </si>
  <si>
    <t>ZA ECO-INDUSTRIELLE</t>
  </si>
  <si>
    <t>RESSONS SUR MATZ</t>
  </si>
  <si>
    <t>SAINT MARTIN SUR LE PRE</t>
  </si>
  <si>
    <t>03 44 38 31 90</t>
  </si>
  <si>
    <t>SCAPARTOIS - 3020510000106 - (9 entrepôts)</t>
  </si>
  <si>
    <t>SCAPARTOIS-ENTREP LAUWIN PLANQ</t>
  </si>
  <si>
    <t>SCAPARTOIS - ALCOOL</t>
  </si>
  <si>
    <t>SCAPARTOIS - FRAIS</t>
  </si>
  <si>
    <t>SCAPARTOIS - PERMANENT-PICKING</t>
  </si>
  <si>
    <t>SCAPARTOIS - PROMO-OPERATION</t>
  </si>
  <si>
    <t>SCAPARTOIS ANCIEN</t>
  </si>
  <si>
    <t>SCAPARTOIS CAILLOT ENT.EXTERNE</t>
  </si>
  <si>
    <t>SCAPARTOIS FRAIS-SURGELES(FM)</t>
  </si>
  <si>
    <t>SCAPARTOIS PRODUIT BRASSERIE</t>
  </si>
  <si>
    <t>Rue Amazon</t>
  </si>
  <si>
    <t>Z.I. Est</t>
  </si>
  <si>
    <t>AV DIMMERCOURT</t>
  </si>
  <si>
    <t>Z.I. ARRAS EST</t>
  </si>
  <si>
    <t>rue des lambres prolongées</t>
  </si>
  <si>
    <t>CHEZ FAURE ET MACHET</t>
  </si>
  <si>
    <t>ZI EST</t>
  </si>
  <si>
    <t>Avenue dImmercourt</t>
  </si>
  <si>
    <t>BP 69</t>
  </si>
  <si>
    <t>TILLOY LES MOFFLAINES</t>
  </si>
  <si>
    <t>SIN LE NOBLE</t>
  </si>
  <si>
    <t>03 21 24 56 84</t>
  </si>
  <si>
    <t>03 27 99 00 82</t>
  </si>
  <si>
    <t>SCAPAUTO S.A. - 3020710000104 - (2 entrepôts)</t>
  </si>
  <si>
    <t>SCAPAUTO (TCP DISTRIBUTION)</t>
  </si>
  <si>
    <t>TCP LOGISTIQUE</t>
  </si>
  <si>
    <t>119 ROUTE D AUXERRE</t>
  </si>
  <si>
    <t>119 ROUTE DAUXERRE</t>
  </si>
  <si>
    <t>SAINT ANDRE LES VERGERS</t>
  </si>
  <si>
    <t>SCAPAUTO S.A</t>
  </si>
  <si>
    <t>SCAPEST - 3025390000109 - (21 entrepôts)</t>
  </si>
  <si>
    <t>SCAPEST - CAILLOT ARCHIAC</t>
  </si>
  <si>
    <t>SCAPEST - CAILLOT BETHENY</t>
  </si>
  <si>
    <t>SCAPEST - CAILLOT CITROËN</t>
  </si>
  <si>
    <t>SCAPEST - Ent17 Moulin 3</t>
  </si>
  <si>
    <t>SCAPEST - EXEL LOGISTIQUE</t>
  </si>
  <si>
    <t>SCAPEST 96 Op Textile</t>
  </si>
  <si>
    <t>SCAPEST ALIM PATES JAUNES</t>
  </si>
  <si>
    <t>SCAPEST ARTEMIS</t>
  </si>
  <si>
    <t>SCAPEST CAILLOT 3</t>
  </si>
  <si>
    <t>SCAPEST DEBORD CAILLOT</t>
  </si>
  <si>
    <t>SCAPEST FRAIS CHALONS</t>
  </si>
  <si>
    <t>SCAPEST FRAIS ENNERY</t>
  </si>
  <si>
    <t>SCAPEST HORS GABARIT</t>
  </si>
  <si>
    <t>SCAPEST Hors Gabarit VRAC</t>
  </si>
  <si>
    <t>SCAPEST NON ALIMENTAIRE</t>
  </si>
  <si>
    <t>SCAPEST OPE ET FRUITS LEGUMES</t>
  </si>
  <si>
    <t>SCAPEST OPES GT3</t>
  </si>
  <si>
    <t>SCAPEST RECY</t>
  </si>
  <si>
    <t>SCAPEST SURGELES ENT 41</t>
  </si>
  <si>
    <t>SCAPEST VATRY</t>
  </si>
  <si>
    <t>SCAPESTMICHEL LOG BAZAR SAISON</t>
  </si>
  <si>
    <t>3 rue dArchiac</t>
  </si>
  <si>
    <t>ZI DU BUISSON SARRAZIN</t>
  </si>
  <si>
    <t>Rue Ernest Renand</t>
  </si>
  <si>
    <t>ZI RUE DU MOULIN</t>
  </si>
  <si>
    <t>AVENUE DES REMPARTS</t>
  </si>
  <si>
    <t>Rue de Lilet</t>
  </si>
  <si>
    <t>Z.I. Rue du Moulin</t>
  </si>
  <si>
    <t>46 rue Pierre Maitre</t>
  </si>
  <si>
    <t>ZI LA POMPELLE</t>
  </si>
  <si>
    <t>Rue Georges Claude</t>
  </si>
  <si>
    <t>Rue du Moulin</t>
  </si>
  <si>
    <t>ZI RUE CHARLES MARIE RAVEL</t>
  </si>
  <si>
    <t>rue de l ilet</t>
  </si>
  <si>
    <t>Rue du terme de la Mouic</t>
  </si>
  <si>
    <t>Rue de l ilet</t>
  </si>
  <si>
    <t>AEROPORT INTERNATIONAL VATRY</t>
  </si>
  <si>
    <t>ZI DE LUDRES</t>
  </si>
  <si>
    <t>BP 3</t>
  </si>
  <si>
    <t>ST MARTIN SUR LE PRE</t>
  </si>
  <si>
    <t>BP 2</t>
  </si>
  <si>
    <t>ZI St Martin sur le Pre</t>
  </si>
  <si>
    <t>RUE MARCEL HUYGUE</t>
  </si>
  <si>
    <t>Z.I. Garolor</t>
  </si>
  <si>
    <t>RUE LOUIS BLERIOT</t>
  </si>
  <si>
    <t>RUE DES HAYS</t>
  </si>
  <si>
    <t>CHALONS EN CHAMPAGNE</t>
  </si>
  <si>
    <t>LE CHATELET SUR RETOURNE</t>
  </si>
  <si>
    <t>06 12 11 91 49</t>
  </si>
  <si>
    <t>03 26 07 00 31</t>
  </si>
  <si>
    <t>SCAPNOR - 3021390000101 - (7 entrepôts)</t>
  </si>
  <si>
    <t>SCAPNOR AUTOMATISE</t>
  </si>
  <si>
    <t>SCAPNOR FRAIS SURGELES</t>
  </si>
  <si>
    <t>SCAPNOR LIQUIDE</t>
  </si>
  <si>
    <t>SCAPNOR OPERATION</t>
  </si>
  <si>
    <t>SCAPNOR SAISONNIER</t>
  </si>
  <si>
    <t>SCAPNOR SEC</t>
  </si>
  <si>
    <t>CHEMIN DU BAC DES AUBINS</t>
  </si>
  <si>
    <t>Chemin du Jacloret</t>
  </si>
  <si>
    <t>Chemin du Bac des Aubins</t>
  </si>
  <si>
    <t>Chemin du bac des Aubins</t>
  </si>
  <si>
    <t>BP 395</t>
  </si>
  <si>
    <t>BRUYERES SUR OISE</t>
  </si>
  <si>
    <t>SCARMOR - 3025680000100 - (27 entrepôts)</t>
  </si>
  <si>
    <t>SCARMOR - EVEN RHD</t>
  </si>
  <si>
    <t>SCARMOR - GELT YFFINIAC</t>
  </si>
  <si>
    <t>SCARMOR - LAHAYE(Vern)</t>
  </si>
  <si>
    <t>SCARMOR - LE BRAS</t>
  </si>
  <si>
    <t>SCARMOR - SPGE</t>
  </si>
  <si>
    <t>SCARMOR - STEF SAINT BRIEUC</t>
  </si>
  <si>
    <t>SCARMOR - STG</t>
  </si>
  <si>
    <t>SCARMOR - TRANSPORTS LAHAYE</t>
  </si>
  <si>
    <t>SCARMOR KERHUON BAZAR</t>
  </si>
  <si>
    <t>SCARMOR KERHUON ECLATEMENT</t>
  </si>
  <si>
    <t>SCARMOR KERHUON FRAIS</t>
  </si>
  <si>
    <t>SCARMOR KERHUON PICKING</t>
  </si>
  <si>
    <t>SCARMOR KERHUON SURGELES</t>
  </si>
  <si>
    <t>SCARMOR LANDERNEAU</t>
  </si>
  <si>
    <t>SCARMOR MORY</t>
  </si>
  <si>
    <t>SCARMOR PLAINTEL</t>
  </si>
  <si>
    <t>SCARMOR PLAINTEL RECEPTION 1</t>
  </si>
  <si>
    <t>SCARMOR PLAINTEL RECEPTION 2</t>
  </si>
  <si>
    <t>SCARMOR PLAINTEL RECEPTION 3</t>
  </si>
  <si>
    <t>SCARMOR PLAINTEL RECEPTION 4</t>
  </si>
  <si>
    <t>ZI de LAVALLOT</t>
  </si>
  <si>
    <t>TRAON BIHAN</t>
  </si>
  <si>
    <t>ZI MOULIN A VENT</t>
  </si>
  <si>
    <t>15 rue de la Mottais</t>
  </si>
  <si>
    <t>RUE DU PONANT</t>
  </si>
  <si>
    <t>STEF Logistique SAINT BRIEUC</t>
  </si>
  <si>
    <t>ROUTE DE RENNES</t>
  </si>
  <si>
    <t>Rue Jean-Marie Huchet</t>
  </si>
  <si>
    <t>Z.I. Kerscao</t>
  </si>
  <si>
    <t>Z.I. KERSCAO</t>
  </si>
  <si>
    <t>ZI KERSCAO</t>
  </si>
  <si>
    <t>ZI BEL AIR</t>
  </si>
  <si>
    <t>ENTREPOT MORY</t>
  </si>
  <si>
    <t>ZA de la Gare</t>
  </si>
  <si>
    <t>Z.I. du Grand Plessis</t>
  </si>
  <si>
    <t>Z.I. DU GRAND PLESSIS</t>
  </si>
  <si>
    <t>Quartier de KERVIVARCH</t>
  </si>
  <si>
    <t>BP 100</t>
  </si>
  <si>
    <t>B.P. 62</t>
  </si>
  <si>
    <t>ZA DU VERN</t>
  </si>
  <si>
    <t>Rue de Cuverville</t>
  </si>
  <si>
    <t>48 RUE DU COMMANDANT</t>
  </si>
  <si>
    <t>YFFINIAC CEDEX</t>
  </si>
  <si>
    <t>VERN SUR SEICHE</t>
  </si>
  <si>
    <t>SAINT BRIEUC</t>
  </si>
  <si>
    <t>NOYAL SUR VILAINE</t>
  </si>
  <si>
    <t>Le Relecq-Kerhuon</t>
  </si>
  <si>
    <t>LE RELECQ-KERHUON</t>
  </si>
  <si>
    <t>LE RELECQ KERHUON</t>
  </si>
  <si>
    <t>LANDERNEAU CEDEX</t>
  </si>
  <si>
    <t>02 96 63 81 50</t>
  </si>
  <si>
    <t>02 99 00 44 66</t>
  </si>
  <si>
    <t>02 96 58 04 70</t>
  </si>
  <si>
    <t>02 98 85 77 00</t>
  </si>
  <si>
    <t>SCARMOR PLAINTEL RECEPTION 5</t>
  </si>
  <si>
    <t>SCARMOR RIEC RECEPTION 41 gel</t>
  </si>
  <si>
    <t>SCARMOR RIEC RECEPTION 42 FL</t>
  </si>
  <si>
    <t>SCARMOR RIEC RECEPTION 43 FUF</t>
  </si>
  <si>
    <t>SCARMOR SAURISSERIE</t>
  </si>
  <si>
    <t>STE LOGISTIQUE VANNES</t>
  </si>
  <si>
    <t>Zone de KERANDREO</t>
  </si>
  <si>
    <t>STEF TRANSPORTS LORIENT</t>
  </si>
  <si>
    <t>RP 3704</t>
  </si>
  <si>
    <t>9 RUE INGENIEUR VERRIERE</t>
  </si>
  <si>
    <t>RUE DE SAINT LEONARD</t>
  </si>
  <si>
    <t>RIEC SUR BELON</t>
  </si>
  <si>
    <t>VANNES CEDEX</t>
  </si>
  <si>
    <t>02 97 93 83 83</t>
  </si>
  <si>
    <t>SCASO - 3025720000100 - (12 entrepôts)</t>
  </si>
  <si>
    <t>SCASO - Brive la Gaillarde</t>
  </si>
  <si>
    <t>SCASO 5</t>
  </si>
  <si>
    <t>SCASO I</t>
  </si>
  <si>
    <t>SCASO I BEYCHAC NOUVEAU</t>
  </si>
  <si>
    <t>SCASO I BEYCHAC SUPP</t>
  </si>
  <si>
    <t>SCASO II - FRAIS</t>
  </si>
  <si>
    <t>SCASO II - SURGELES</t>
  </si>
  <si>
    <t>SCASO II BEYC - FRAIS NOUVEAU</t>
  </si>
  <si>
    <t>SCASO II FRAIS BEYCHAC SUPP</t>
  </si>
  <si>
    <t>SCASO II SURGELE BEYCHAC NEW</t>
  </si>
  <si>
    <t>SCASO II SURGELE BEYCHAC SUPP</t>
  </si>
  <si>
    <t>SCASO III</t>
  </si>
  <si>
    <t>ZI Beauregard</t>
  </si>
  <si>
    <t>4 CHEMIN AUGUSTE</t>
  </si>
  <si>
    <t>ENTREPOT PGC</t>
  </si>
  <si>
    <t>ZI du grand Cazeau</t>
  </si>
  <si>
    <t>AV DE LATTRE DE TASSIGNY</t>
  </si>
  <si>
    <t>ENTREPOT BAZAR TEXTILE DH</t>
  </si>
  <si>
    <t>Route de Beroy</t>
  </si>
  <si>
    <t>ZI DE TOCTOUCAU</t>
  </si>
  <si>
    <t>ZI TOCTOUCAU</t>
  </si>
  <si>
    <t>ZI de Toctoucau</t>
  </si>
  <si>
    <t>Brive la Gaillarde</t>
  </si>
  <si>
    <t>CESTAS CEDEX</t>
  </si>
  <si>
    <t>SCAWAR SP. Z O.O. - 5900000035185 - (6 entrepôts)</t>
  </si>
  <si>
    <t>SCAWAR chez DEPAEUW</t>
  </si>
  <si>
    <t>Scawar chez transports Lezier</t>
  </si>
  <si>
    <t>SCAWAR SOCHACZEW</t>
  </si>
  <si>
    <t>SCAWAR WARSZAWA</t>
  </si>
  <si>
    <t>SCAWAR WOLA RAKOWA</t>
  </si>
  <si>
    <t>Scawar Wwa ADD</t>
  </si>
  <si>
    <t>ZAC du Moulin de Coisne</t>
  </si>
  <si>
    <t>Rue Charles Tellier</t>
  </si>
  <si>
    <t>Scawar Chlodnia Mazowsze</t>
  </si>
  <si>
    <t>ul. Jutrzenki 156</t>
  </si>
  <si>
    <t>Scawar LOGISTIK Sp. z o.o.</t>
  </si>
  <si>
    <t>Add FABRYKA</t>
  </si>
  <si>
    <t>Rue de la République</t>
  </si>
  <si>
    <t>Zdzarow 71C</t>
  </si>
  <si>
    <t>WOLA RAKOWA</t>
  </si>
  <si>
    <t>ul. Bodycha 97, hala 6</t>
  </si>
  <si>
    <t>03 20 22 21 94</t>
  </si>
  <si>
    <t>03 21 13 40 00</t>
  </si>
  <si>
    <t>+48 46 862 12 04</t>
  </si>
  <si>
    <t>SOCAMAINE - 3025690000106 - (18 entrepôts)</t>
  </si>
  <si>
    <t>SOCAMAINE - LAHAYE LOGISTIQUE</t>
  </si>
  <si>
    <t>SOCAMAINE ACCUEIL PL ALCOOL</t>
  </si>
  <si>
    <t>SOCAMAINE ACCUEIL PL ALIMENTAI</t>
  </si>
  <si>
    <t>SOCAMAINE ACCUEIL PL BAZAR PER</t>
  </si>
  <si>
    <t>SOCAMAINE ACCUEIL PL CATALOGUE</t>
  </si>
  <si>
    <t>SOCAMAINE ACCUEIL PL DIVERS</t>
  </si>
  <si>
    <t>SOCAMAINE ACCUEIL PL DOSSIER</t>
  </si>
  <si>
    <t>SOCAMAINE ACCUEIL PL DPH</t>
  </si>
  <si>
    <t>SOCAMAINE ACCUEIL PL EAUX</t>
  </si>
  <si>
    <t>SOCAMAINE ACCUEIL PL LIQUIDE</t>
  </si>
  <si>
    <t>SOCAMAINE ACCUEIL PL PATISSERI</t>
  </si>
  <si>
    <t>SOCAMAINE ACCUEIL PL SURGELES</t>
  </si>
  <si>
    <t>SOCAMAINE ACCUEIL PL TEXTILE</t>
  </si>
  <si>
    <t>SOCAMAINE ARTEMIS</t>
  </si>
  <si>
    <t>SOCAMAINE PROSPECTUS LIQUIDES</t>
  </si>
  <si>
    <t>SOCAMAINE RECEPTION AUTOMAT S4</t>
  </si>
  <si>
    <t>SOCAMAINE TRANSPORT PERENNOT</t>
  </si>
  <si>
    <t>TFE - SOCAMAINE FRAIS</t>
  </si>
  <si>
    <t>ALLEE DES TILLEULS</t>
  </si>
  <si>
    <t>socamaine 2</t>
  </si>
  <si>
    <t>socamaine 3</t>
  </si>
  <si>
    <t>socamaine 2-3-5</t>
  </si>
  <si>
    <t>socamaine 5</t>
  </si>
  <si>
    <t>Route de Paris</t>
  </si>
  <si>
    <t>Lahaye logistique</t>
  </si>
  <si>
    <t>socamaine 4</t>
  </si>
  <si>
    <t>Transpot PERENNOT</t>
  </si>
  <si>
    <t>4 Bd Sirius</t>
  </si>
  <si>
    <t>ZA LA PECARDIERE</t>
  </si>
  <si>
    <t>Route de paris</t>
  </si>
  <si>
    <t>Route de Fatines</t>
  </si>
  <si>
    <t>D323 La Belle inutile</t>
  </si>
  <si>
    <t>Tous le frais</t>
  </si>
  <si>
    <t>MONTFORT LE GESNOIS</t>
  </si>
  <si>
    <t>MONCE EN BELIN</t>
  </si>
  <si>
    <t>SOCAMIL - 3025650000108 - (16 entrepôts)</t>
  </si>
  <si>
    <t>SOCAMIL - DRIVE</t>
  </si>
  <si>
    <t>SOCAMIL ARTEMIS</t>
  </si>
  <si>
    <t>SOCAMIL ENTREPOT</t>
  </si>
  <si>
    <t>SOCAMIL FRAIS</t>
  </si>
  <si>
    <t>SOCAMIL FRAIS Drive</t>
  </si>
  <si>
    <t>SOCAMIL GRISOLLES</t>
  </si>
  <si>
    <t>SOCAMIL Reception 36</t>
  </si>
  <si>
    <t>SOCAMIL Reception 37</t>
  </si>
  <si>
    <t>SOCAMIL Reception 38</t>
  </si>
  <si>
    <t>SOCAMIL Reception 39</t>
  </si>
  <si>
    <t>SOCAMIL Reception exterieure</t>
  </si>
  <si>
    <t>SOCAMIL Stef Eurocentre</t>
  </si>
  <si>
    <t>SOCAMIL STEF SURGELE AGEN</t>
  </si>
  <si>
    <t>SOCAMIL TOURNEF RECEP PROMO</t>
  </si>
  <si>
    <t>SOCAMIL TOURNEFEUILLE RECEP 19</t>
  </si>
  <si>
    <t>SOCAMIL TOURNEFEUILLE RECEP 20</t>
  </si>
  <si>
    <t>1 Chemin de Larramet</t>
  </si>
  <si>
    <t>1 chemin de Larramet,</t>
  </si>
  <si>
    <t>1 CHEMIN DE LARRAMET</t>
  </si>
  <si>
    <t>RUE DE LA PAIX</t>
  </si>
  <si>
    <t>1 chemin de Larramet</t>
  </si>
  <si>
    <t>1 Bld Pierre et Marie Curie</t>
  </si>
  <si>
    <t>2 Allee des tuileries</t>
  </si>
  <si>
    <t>STEF LOGISTIQUE AGEN</t>
  </si>
  <si>
    <t>ZA de la Menude</t>
  </si>
  <si>
    <t>ZI eurocentre</t>
  </si>
  <si>
    <t>ZI Jean MALEZE</t>
  </si>
  <si>
    <t>Plaisance du Touch</t>
  </si>
  <si>
    <t>Villeneuve les Bouloc</t>
  </si>
  <si>
    <t>BON ENCONTRE</t>
  </si>
  <si>
    <t>05 61 07 18 00</t>
  </si>
  <si>
    <t>05 61 07 18 16</t>
  </si>
  <si>
    <t>05 63 02 39 07</t>
  </si>
  <si>
    <t>SOCARA - 3025500000104 - (5 entrepôts)</t>
  </si>
  <si>
    <t>SOCARA 01 SEC</t>
  </si>
  <si>
    <t>SOCARA 06 SAISONNIER</t>
  </si>
  <si>
    <t>SOCARA 13 SAISONNIER</t>
  </si>
  <si>
    <t>SOCARA 17 FRAIS FL SURGE</t>
  </si>
  <si>
    <t>SOCARA 19 MECANISE PGC</t>
  </si>
  <si>
    <t>Z.I. DE CHESNES LA NOIRIE</t>
  </si>
  <si>
    <t>Z.I de Chênes la Noirée</t>
  </si>
  <si>
    <t>4 rue du Marais</t>
  </si>
  <si>
    <t>SOCARA Frais F&amp;L Surge</t>
  </si>
  <si>
    <t>SOCARA PGC MECANISE</t>
  </si>
  <si>
    <t>75 AVENUE DES ARRIVAUX</t>
  </si>
  <si>
    <t>39 rue de MALACOMBE</t>
  </si>
  <si>
    <t>SAINT QUENTIN FALLAVIER</t>
  </si>
  <si>
    <t>St QUENTIN FALLAVIER</t>
  </si>
  <si>
    <t>VERALEC - 3015243800100 - (2 entrepôts)</t>
  </si>
  <si>
    <t>17 Parc Economique Paysager</t>
  </si>
  <si>
    <t>du Bos Plan</t>
  </si>
  <si>
    <t>BEYCHAC ET CAILLEAU</t>
  </si>
  <si>
    <t>Chemin d'Auguste</t>
  </si>
  <si>
    <t>Cestas</t>
  </si>
  <si>
    <t xml:space="preserve">BBJ SO </t>
  </si>
  <si>
    <t xml:space="preserve">BBJ SUD OUEST </t>
  </si>
  <si>
    <t>SCA</t>
  </si>
  <si>
    <t>Entrepot</t>
  </si>
  <si>
    <t>Numéro d'entrepôt</t>
  </si>
  <si>
    <t>Interne/ externe</t>
  </si>
  <si>
    <t>Debord</t>
  </si>
  <si>
    <t>Température</t>
  </si>
  <si>
    <t>Automatisé ?</t>
  </si>
  <si>
    <t>GT prise en charge</t>
  </si>
  <si>
    <t>Surface (m²)</t>
  </si>
  <si>
    <t>Hauteur (m)</t>
  </si>
  <si>
    <t>Capacité de stockage (palette)</t>
  </si>
  <si>
    <t>Taux de saturation stock</t>
  </si>
  <si>
    <t>Capacité de flux (palette/j)</t>
  </si>
  <si>
    <t>Capacité de flux (colis/j)</t>
  </si>
  <si>
    <t>Taux de saturation Flux</t>
  </si>
  <si>
    <t>Date de construction</t>
  </si>
  <si>
    <t>Foncier Supplémentaire</t>
  </si>
  <si>
    <t>Colis total</t>
  </si>
  <si>
    <t>Cabannes</t>
  </si>
  <si>
    <t>Externe</t>
  </si>
  <si>
    <t>Non</t>
  </si>
  <si>
    <t>Frais</t>
  </si>
  <si>
    <t>Flux tendu</t>
  </si>
  <si>
    <t>/</t>
  </si>
  <si>
    <t>Le Luc</t>
  </si>
  <si>
    <t>Interne</t>
  </si>
  <si>
    <t>Avant 2000</t>
  </si>
  <si>
    <t>Cabedan</t>
  </si>
  <si>
    <t>Sec</t>
  </si>
  <si>
    <t>Racks - Masse</t>
  </si>
  <si>
    <t>1 et 2</t>
  </si>
  <si>
    <t>Miramas</t>
  </si>
  <si>
    <t>Surgelé</t>
  </si>
  <si>
    <t>Racks</t>
  </si>
  <si>
    <t>5 000</t>
  </si>
  <si>
    <t>Saint-Martin-de-Crau</t>
  </si>
  <si>
    <t>3, 4 et bazar</t>
  </si>
  <si>
    <t>SCA2 frais</t>
  </si>
  <si>
    <t>dalle</t>
  </si>
  <si>
    <t>Dalle</t>
  </si>
  <si>
    <t>SCA2 lait transit</t>
  </si>
  <si>
    <t>1,2,5,3</t>
  </si>
  <si>
    <t>SCA2 marée</t>
  </si>
  <si>
    <t>SCA2 FL</t>
  </si>
  <si>
    <t>SCA1 surgelé</t>
  </si>
  <si>
    <t>rack</t>
  </si>
  <si>
    <t>57, 53</t>
  </si>
  <si>
    <t>a compléter par sca</t>
  </si>
  <si>
    <t>SCA1 trieur sec &amp; BVP surgelé</t>
  </si>
  <si>
    <t xml:space="preserve">Pour analyse = Frais mais donnée = sec + frais </t>
  </si>
  <si>
    <t>SCA1 transit trieur plus sas surgelé</t>
  </si>
  <si>
    <t xml:space="preserve">Pour analyse = Frais mais donnée = surg  + frais </t>
  </si>
  <si>
    <t>SCA1 bazar textile éclatement</t>
  </si>
  <si>
    <t>BAZAR</t>
  </si>
  <si>
    <t>SCA1 DPH flux tendu sec plus bazar</t>
  </si>
  <si>
    <t>3, et bazar</t>
  </si>
  <si>
    <t>SCA1 épicerie</t>
  </si>
  <si>
    <t>SCA1 chien</t>
  </si>
  <si>
    <t>SCA1 flux tendu mainenance chariot et eurack</t>
  </si>
  <si>
    <t>SCA1 produits dangereux</t>
  </si>
  <si>
    <t>SCA1 maintenance plus dematic</t>
  </si>
  <si>
    <t>SCA1 AMCAP plus réception</t>
  </si>
  <si>
    <t>mécanisé</t>
  </si>
  <si>
    <t>SCA1 MGH (magasin grande hauteur)</t>
  </si>
  <si>
    <t>SCA1 expédition</t>
  </si>
  <si>
    <t>SCA1 zone transit</t>
  </si>
  <si>
    <t>SCA1 GT2</t>
  </si>
  <si>
    <t>THEVENET</t>
  </si>
  <si>
    <t>rack mobile</t>
  </si>
  <si>
    <t>Entrepot non al</t>
  </si>
  <si>
    <t xml:space="preserve">Interne </t>
  </si>
  <si>
    <t>41 à 46, 6, bazar</t>
  </si>
  <si>
    <t>?</t>
  </si>
  <si>
    <t>1977 et 1986</t>
  </si>
  <si>
    <t>Entrepot surgeles</t>
  </si>
  <si>
    <t>1986 et 1990 et 2012 et 2018</t>
  </si>
  <si>
    <t>Enterpot PGC</t>
  </si>
  <si>
    <t>1,2,3</t>
  </si>
  <si>
    <t>1992 et 2012</t>
  </si>
  <si>
    <t>Entrepot frais fruits et legumes</t>
  </si>
  <si>
    <t>50 à 56, 58</t>
  </si>
  <si>
    <t>2000 et 2021</t>
  </si>
  <si>
    <t>Angouleme Boisson</t>
  </si>
  <si>
    <t>fin 70</t>
  </si>
  <si>
    <t>REAU : Surgelés</t>
  </si>
  <si>
    <t>Rack</t>
  </si>
  <si>
    <t>GT 5</t>
  </si>
  <si>
    <t>SAVIGNY : NonAl + Ops GT1 et GT3</t>
  </si>
  <si>
    <t>Racks + Masses</t>
  </si>
  <si>
    <t>GT 11 / 4 / 6</t>
  </si>
  <si>
    <t>REAU : Entrepôts Grande Hauteur</t>
  </si>
  <si>
    <t>Automatisé</t>
  </si>
  <si>
    <t>GT 1 / 2 / 3</t>
  </si>
  <si>
    <t>-</t>
  </si>
  <si>
    <t>REAU : Préparation de commandes automatisé</t>
  </si>
  <si>
    <t>Oui</t>
  </si>
  <si>
    <t>REAU : Conventionnel</t>
  </si>
  <si>
    <t>REAU : Quais PGC</t>
  </si>
  <si>
    <t>Masse</t>
  </si>
  <si>
    <t>REAU : Produits frais</t>
  </si>
  <si>
    <t>REAU : Fruits et légumes</t>
  </si>
  <si>
    <t>GT5</t>
  </si>
  <si>
    <t>SCA3</t>
  </si>
  <si>
    <t xml:space="preserve">rack et shuttle semi auto et rack avec charriot guide </t>
  </si>
  <si>
    <t>picking liquide, stockage OP PGC, palette complète liquide, picking animaux</t>
  </si>
  <si>
    <t>20 Ha</t>
  </si>
  <si>
    <t>SCA5</t>
  </si>
  <si>
    <t>rack et masse</t>
  </si>
  <si>
    <t>sec/bazar/textile entrepot saisonnier</t>
  </si>
  <si>
    <t>SCA2</t>
  </si>
  <si>
    <t>picking PGC, OP PGC, APPG GT2, palette complète liquide</t>
  </si>
  <si>
    <t>1992 et 1996</t>
  </si>
  <si>
    <t>SCA1</t>
  </si>
  <si>
    <t>frais crossdock</t>
  </si>
  <si>
    <t>Charcuterie, crémerie, saurisserie, œuf, fruit sec, boucherie/volaille</t>
  </si>
  <si>
    <t>pic 90%</t>
  </si>
  <si>
    <t>1992 extension 2001</t>
  </si>
  <si>
    <t>Surface de débord textile</t>
  </si>
  <si>
    <t xml:space="preserve">Oui </t>
  </si>
  <si>
    <t>textile</t>
  </si>
  <si>
    <t>crossdock</t>
  </si>
  <si>
    <t>SCA4</t>
  </si>
  <si>
    <t xml:space="preserve">rack </t>
  </si>
  <si>
    <t>tous les produits surgelés</t>
  </si>
  <si>
    <t>2005 et 2015 et 2020</t>
  </si>
  <si>
    <t>Touques Auge</t>
  </si>
  <si>
    <t>TK + Racks + Masse</t>
  </si>
  <si>
    <t>Verte Vallée</t>
  </si>
  <si>
    <t>Petit Lieu FRAIS</t>
  </si>
  <si>
    <t>EVA</t>
  </si>
  <si>
    <t>TEDI</t>
  </si>
  <si>
    <t>Saint-Desir</t>
  </si>
  <si>
    <t>Liquides</t>
  </si>
  <si>
    <t>Euro</t>
  </si>
  <si>
    <t>Parf</t>
  </si>
  <si>
    <t>Petit Lieu SURGELES</t>
  </si>
  <si>
    <t>Stef</t>
  </si>
  <si>
    <t>Surgelés</t>
  </si>
  <si>
    <t>01 BAZAR - PETFOOD-LAIT</t>
  </si>
  <si>
    <t>Racks / Masse</t>
  </si>
  <si>
    <t>GT 1 - 2- 3 - 4 - 5</t>
  </si>
  <si>
    <t>13000 m2</t>
  </si>
  <si>
    <t>02 ALCOOL - TEXTILE</t>
  </si>
  <si>
    <t xml:space="preserve">GT 2 - 6 </t>
  </si>
  <si>
    <t>03 FRUITS &amp;LÉGUMES</t>
  </si>
  <si>
    <t>GT 1 -5</t>
  </si>
  <si>
    <t>sol</t>
  </si>
  <si>
    <t>05 FRAIS</t>
  </si>
  <si>
    <t>06 PGC</t>
  </si>
  <si>
    <t>Partiellement mécanisé</t>
  </si>
  <si>
    <t>GT 1- 2 - 3</t>
  </si>
  <si>
    <t>07 PGC AUTOMATISÉ</t>
  </si>
  <si>
    <t xml:space="preserve">BAM </t>
  </si>
  <si>
    <t>GT 1 - 2- 3 - 4</t>
  </si>
  <si>
    <t>TSF (ponctuel 2023 suite trvx sur site)</t>
  </si>
  <si>
    <t>GT 2</t>
  </si>
  <si>
    <t>LOGILAURE (ponctuel 2023 suite trvx sur site)</t>
  </si>
  <si>
    <t>04 SURGELÉS</t>
  </si>
  <si>
    <t>07 BIS PGC AUTOMATISE (en construction)</t>
  </si>
  <si>
    <t>DERVAL (TSF) (ponctuel 2023 suite trvx sur site)</t>
  </si>
  <si>
    <t>Colmar</t>
  </si>
  <si>
    <t>1-2-3-4</t>
  </si>
  <si>
    <t>Colamar Haussmann</t>
  </si>
  <si>
    <t>Racks/masse</t>
  </si>
  <si>
    <t>Niederhergheim - perle</t>
  </si>
  <si>
    <t>Automatisé/Mécanisé</t>
  </si>
  <si>
    <t>1, 2 et 3</t>
  </si>
  <si>
    <t>Niederhergheim - Alfa</t>
  </si>
  <si>
    <t>Colamar Papin</t>
  </si>
  <si>
    <t>2002/2012/2018</t>
  </si>
  <si>
    <t>SCAP1 - C6 / C8 Tradi</t>
  </si>
  <si>
    <t>1/2/3/4</t>
  </si>
  <si>
    <t>20KM²</t>
  </si>
  <si>
    <t>SCAP1- C7 PROMO</t>
  </si>
  <si>
    <t>20KM131</t>
  </si>
  <si>
    <t>SCAP1 - FRAIS C9b/C10</t>
  </si>
  <si>
    <t>éclatement</t>
  </si>
  <si>
    <t>5</t>
  </si>
  <si>
    <t>20KM132</t>
  </si>
  <si>
    <t>SCAP1- FLEG C9a</t>
  </si>
  <si>
    <t>51/58</t>
  </si>
  <si>
    <t>20KM133</t>
  </si>
  <si>
    <t>SCAP5 - Entrepot de débord tradi PGC pendant Travaux</t>
  </si>
  <si>
    <t>2</t>
  </si>
  <si>
    <t>20KM135</t>
  </si>
  <si>
    <t>SCAP2 - Entrepot de débord tradi PGC pendant Travaux</t>
  </si>
  <si>
    <t>20KM136</t>
  </si>
  <si>
    <t>SCAP1 - Automate</t>
  </si>
  <si>
    <t>GT 1 et 3 et 2 en stock promo seulement</t>
  </si>
  <si>
    <t>1992/2018</t>
  </si>
  <si>
    <t>20KM137</t>
  </si>
  <si>
    <t>SCAP3 - SURGELE PRESTE STG</t>
  </si>
  <si>
    <t>53/57</t>
  </si>
  <si>
    <t>20KM134</t>
  </si>
  <si>
    <t>Entrepôts Surgelés</t>
  </si>
  <si>
    <t xml:space="preserve">Racks </t>
  </si>
  <si>
    <t>GT57</t>
  </si>
  <si>
    <t>10 m</t>
  </si>
  <si>
    <t>Enrepôts Hors Gabarits</t>
  </si>
  <si>
    <t>Racks / Masses</t>
  </si>
  <si>
    <t>GT4/GT6</t>
  </si>
  <si>
    <t>50% à 100 %</t>
  </si>
  <si>
    <t>Entrepôts Vatry</t>
  </si>
  <si>
    <t>GT2</t>
  </si>
  <si>
    <t>Entrepôts FL</t>
  </si>
  <si>
    <t>GT10</t>
  </si>
  <si>
    <t>Entrepôts Opérations</t>
  </si>
  <si>
    <t>GT1/2/3</t>
  </si>
  <si>
    <t>Entrepôt Produits Frais</t>
  </si>
  <si>
    <t>Mécanisé</t>
  </si>
  <si>
    <t>GT5/GT10/GT1</t>
  </si>
  <si>
    <t>Ennery PF</t>
  </si>
  <si>
    <t>Tinqueux PF</t>
  </si>
  <si>
    <t>Entrepôt Ravel</t>
  </si>
  <si>
    <t>Maint/AP/Salons</t>
  </si>
  <si>
    <t>Entrepôts Recy PGC</t>
  </si>
  <si>
    <t>GT1/2/3/52</t>
  </si>
  <si>
    <t>32 m</t>
  </si>
  <si>
    <t>Manuel</t>
  </si>
  <si>
    <t>Palettes complètes sec + Picking Bazar</t>
  </si>
  <si>
    <t>F&amp;L</t>
  </si>
  <si>
    <t>PGC automatisé</t>
  </si>
  <si>
    <t>Palettes</t>
  </si>
  <si>
    <t>Palettes/Consommables/Balles Mag</t>
  </si>
  <si>
    <t>Non Al prestation</t>
  </si>
  <si>
    <t>Non Al saisonnier</t>
  </si>
  <si>
    <t>Riec sur Belon frais</t>
  </si>
  <si>
    <t>Automatisé/Mécanisé/Racks/Masse</t>
  </si>
  <si>
    <t>F&amp;L - FUF</t>
  </si>
  <si>
    <t>1248 places 1,20m +424 places 1,80m</t>
  </si>
  <si>
    <t>Lorient</t>
  </si>
  <si>
    <t>Marée humide et sèche</t>
  </si>
  <si>
    <t>1970-1983</t>
  </si>
  <si>
    <t>Plaintel</t>
  </si>
  <si>
    <t>Rack + Masse</t>
  </si>
  <si>
    <t>Non Al - Epicerie - Liquide</t>
  </si>
  <si>
    <t>2620 au sol + 8 208 en stock rack + 2900 racks dynamiques</t>
  </si>
  <si>
    <t>1980-2004</t>
  </si>
  <si>
    <t>Landerneau</t>
  </si>
  <si>
    <t xml:space="preserve">Rack   </t>
  </si>
  <si>
    <t>Alcool, Epicerie, Liquide, Vins primeur, bazar</t>
  </si>
  <si>
    <t>3 550 au sol  + 8 360 en stock</t>
  </si>
  <si>
    <t>Le Relecq Kerhuon</t>
  </si>
  <si>
    <t>DPH - Liquide</t>
  </si>
  <si>
    <t>2 200 places au sol + 4 100 en stock</t>
  </si>
  <si>
    <t>Frais ambiant</t>
  </si>
  <si>
    <t>Riec sur Belon surgelés</t>
  </si>
  <si>
    <t>144 places 1,35 + 288 places 2,4 m</t>
  </si>
  <si>
    <t>sec</t>
  </si>
  <si>
    <t>Cestas détail DH</t>
  </si>
  <si>
    <t>Cestas detail bazar</t>
  </si>
  <si>
    <t>Cestas détail éclatement dalle</t>
  </si>
  <si>
    <t>N/A</t>
  </si>
  <si>
    <t>Beychac PGC</t>
  </si>
  <si>
    <t>Cestas ancien surgelé stockage de vin</t>
  </si>
  <si>
    <t>Beychac frais 0-3°</t>
  </si>
  <si>
    <t>Non (trieur ?)</t>
  </si>
  <si>
    <t>Beychac f&amp;l</t>
  </si>
  <si>
    <t>Beychac surgelé</t>
  </si>
  <si>
    <t>SOCA 1</t>
  </si>
  <si>
    <t>SOCA 3</t>
  </si>
  <si>
    <t>SOCA 4</t>
  </si>
  <si>
    <t>SOCA 5</t>
  </si>
  <si>
    <t>SOCA 2</t>
  </si>
  <si>
    <t>Tournefeuille débord</t>
  </si>
  <si>
    <t>manuel</t>
  </si>
  <si>
    <t xml:space="preserve">250K m² </t>
  </si>
  <si>
    <t>Tournefeuille frais</t>
  </si>
  <si>
    <t>F&amp;L + sec (hors frais à 2°)</t>
  </si>
  <si>
    <t>Castel non al</t>
  </si>
  <si>
    <t>1/2/3/4/6/7/20</t>
  </si>
  <si>
    <t>Castel sec</t>
  </si>
  <si>
    <t>Witron + manuel (6% du volume)</t>
  </si>
  <si>
    <t>PGC/Bazar permanent/OP GT1,2,3</t>
  </si>
  <si>
    <t>Castel frais</t>
  </si>
  <si>
    <t>Witron + manuel (10% du volume)</t>
  </si>
  <si>
    <t>frais hors F&amp;L</t>
  </si>
  <si>
    <t>Castel surgelé</t>
  </si>
  <si>
    <t>Witron</t>
  </si>
  <si>
    <t>surgelé</t>
  </si>
  <si>
    <t>frais</t>
  </si>
  <si>
    <t>5 51 52</t>
  </si>
  <si>
    <t>saisonnier</t>
  </si>
  <si>
    <t>4 6 7 31</t>
  </si>
  <si>
    <t>FEL</t>
  </si>
  <si>
    <t>GT 1 2 3 31 5Lait UHT</t>
  </si>
  <si>
    <t>surgeles</t>
  </si>
  <si>
    <t>SCAPMAREE</t>
  </si>
  <si>
    <t>SCAPAUTO</t>
  </si>
  <si>
    <t>CEDILEC</t>
  </si>
  <si>
    <t>KERMENE</t>
  </si>
  <si>
    <t>CEDILEC
 Rte de la Pointe du Hoc, 76600 Le Havre</t>
  </si>
  <si>
    <t>SCAPARF
Rue de Gournay, R.D. 82
60490 Ressons-sur-Matz</t>
  </si>
  <si>
    <t>BTLec Est
2 rue des Moissons
ZA Witry Caurel
51420 Witry les Reims</t>
  </si>
  <si>
    <t>BTLEC OUEST
Route de Cordemais
44360 Saint Etienne de Montluc</t>
  </si>
  <si>
    <t>BBJ Nord
ZI Nord, BP 61043
106 rue Paul Cornu
14100 Lisieux
et entrepôt à Troye chez TCP</t>
  </si>
  <si>
    <t>BBJSO
6 Chemin d'Auguste
33610 CESTAS</t>
  </si>
  <si>
    <t>SCAPMAREE
Rue Marcellin Berthelot
Entrepôt 113 Rungis
91320 Wissous</t>
  </si>
  <si>
    <t>SCAPAUTO
ZI Nord, BP 61043
106 rue Paul Cornu
14100 Lisieux
et entrepôt à Troye chez TCP</t>
  </si>
  <si>
    <t>KERMENE
13 Le Perey, Saint-Jacut-Du-Mené
22330 LE MENE</t>
  </si>
  <si>
    <t>VERALEC
ZA du Bos Plan,
17 route du Fileur
33750 Beychac-et-Caillau</t>
  </si>
  <si>
    <t>Scapnor</t>
  </si>
  <si>
    <t>Scadif</t>
  </si>
  <si>
    <t>Scapest</t>
  </si>
  <si>
    <t>Scaouest</t>
  </si>
  <si>
    <t>Scarmor</t>
  </si>
  <si>
    <t>Socamaine</t>
  </si>
  <si>
    <t>SOCAMAINE
Route de Paris
72470 CHAMPAGNE</t>
  </si>
  <si>
    <t>Scachap</t>
  </si>
  <si>
    <t>SCACHAP
ZI de la Gare - BP 108
16700 RUFFEC</t>
  </si>
  <si>
    <t xml:space="preserve">Scaso
</t>
  </si>
  <si>
    <t>SCASO
ZI de Toctoucau
Avenue de Lattre de Tassigny
33612 CESTAS Cedex</t>
  </si>
  <si>
    <t>Socamil</t>
  </si>
  <si>
    <t>Lecasud</t>
  </si>
  <si>
    <t>LECASUD
ZI des Lauves
83340 LE LUC</t>
  </si>
  <si>
    <t>Socara</t>
  </si>
  <si>
    <t>SOCARA
6 rue du Marais
38280 VILLETTE D'ANTHON</t>
  </si>
  <si>
    <t>Scanormande</t>
  </si>
  <si>
    <t>SCANORMANDE
ZI Nord
BP 61043
14101 LISIEUX Cedex</t>
  </si>
  <si>
    <t>Scapalsace</t>
  </si>
  <si>
    <t>SCAPALSACE
ZI Nord
157 Rue du Ladhof
68025 COLMAR Cedex</t>
  </si>
  <si>
    <t>Scacentre</t>
  </si>
  <si>
    <t>SCACENTRE
10 Rue Colbert
03400 YZEURE</t>
  </si>
  <si>
    <t>Scalandes</t>
  </si>
  <si>
    <t>SCALANDES
ZA de Pémégnan
BP 49
40001 MONT DE MARSAN</t>
  </si>
  <si>
    <t>Scapartois</t>
  </si>
  <si>
    <t>SCAPARTOIS
ZI Arras Est 
Rue de Niepce
62217 TILLOY LES MOFLAINES</t>
  </si>
  <si>
    <t>Scaparf</t>
  </si>
  <si>
    <t>BTLec Est</t>
  </si>
  <si>
    <t>BTLec Ouest</t>
  </si>
  <si>
    <t>BBJ Nord</t>
  </si>
  <si>
    <t>BBJ Sud Ouest</t>
  </si>
  <si>
    <t>Adresse</t>
  </si>
  <si>
    <t>M²</t>
  </si>
  <si>
    <t>SOCAMIL
511 Av. Gérard Rouvière
11400 Castelnaudary</t>
  </si>
  <si>
    <t>E-Commerce</t>
  </si>
  <si>
    <t>LEGENDRE
zone industrielle de Gellainville (28)</t>
  </si>
  <si>
    <t>Étiquettes de lignes</t>
  </si>
  <si>
    <t>Total général</t>
  </si>
  <si>
    <t>Somme de Surface (m²)</t>
  </si>
  <si>
    <t>Frais et Surgelé
44360 Saint-Etienne de Montluc, Route de Cordemais la gare </t>
  </si>
  <si>
    <t>Sec et Liquide: 
SCARMOR
ZI Bel Air
29419 LANDERNEAU Cedex</t>
  </si>
  <si>
    <t>Scarmor Plaintel /Zone Industrielle du Grand Plessis / 22940 Plaintel </t>
  </si>
  <si>
    <t>SCASO 1 (PGC Frias Surg) 
Zone artisanale du Grand Cazau 
33750 BEYCHAC ET CAILLEAU </t>
  </si>
  <si>
    <t>LECASUD
 ENTREPOT SEC et Frais CAVAILLON chez ID Logistics - 131 Avenue de Vidauque, 84300 Cavaillon </t>
  </si>
  <si>
    <t>SCANORMANDE Sec
bld jean-charles contel 14100 glos </t>
  </si>
  <si>
    <t>SCADIF 
Parc d'activité de l'A5  2103 rue Denis PAPIN 
77750 RÉAU</t>
  </si>
  <si>
    <t>SCAPNOR 
ZAE Chemin du bac des Aubins - BP 10
95820 BRUYERES SUR OISE</t>
  </si>
  <si>
    <t>SCAPEST 
ZI Du Moulin -Saint Martin sur le Pré
51039 CHALONS EN CHAMPAGNE</t>
  </si>
  <si>
    <t>Libellé</t>
  </si>
  <si>
    <t>Scarmor - Sec et liquide</t>
  </si>
  <si>
    <t>Scarmor - Frais et Surgelé</t>
  </si>
  <si>
    <t>Scarmor Plaintel</t>
  </si>
  <si>
    <t>Scaso - Frais et Surgelé</t>
  </si>
  <si>
    <t>Scaso - Sec</t>
  </si>
  <si>
    <t>Lecasud - Sec et Frais</t>
  </si>
  <si>
    <t>Scanormande Sec</t>
  </si>
  <si>
    <t>LEGENDRE</t>
  </si>
  <si>
    <t>Code Postal</t>
  </si>
  <si>
    <t>Ville</t>
  </si>
  <si>
    <t>SCAOUEST 
Route de Cordemais
44360 SAINT ETIENNE DE MONTLUC</t>
  </si>
  <si>
    <t>Route de Cordemais la gare </t>
  </si>
  <si>
    <t>Zone Industrielle du Grand Plessis</t>
  </si>
  <si>
    <t>131 Avenue de Vidauque</t>
  </si>
  <si>
    <t>bld jean-charles conte</t>
  </si>
  <si>
    <t>GLOS</t>
  </si>
  <si>
    <t>CEDILEC, Rte de la Pointe du Hoc</t>
  </si>
  <si>
    <t>Zone industrielle de Gellainville</t>
  </si>
  <si>
    <t>Gellainville</t>
  </si>
  <si>
    <t>106 rue Paul Cornu</t>
  </si>
  <si>
    <t>REAU</t>
  </si>
  <si>
    <t>Wissous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</si>
</sst>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quotePrefix="1" applyBorder="1"/>
    <xf numFmtId="3" fontId="0" fillId="0" borderId="1" xfId="0" quotePrefix="1" applyNumberFormat="1" applyBorder="1"/>
    <xf numFmtId="0" fontId="0" fillId="2" borderId="1" xfId="0" applyFill="1" applyBorder="1"/>
    <xf numFmtId="0" fontId="0" fillId="2" borderId="0" xfId="0" applyFill="1"/>
    <xf numFmtId="3" fontId="0" fillId="2" borderId="1" xfId="0" applyNumberFormat="1" applyFill="1" applyBorder="1"/>
    <xf numFmtId="0" fontId="1" fillId="2" borderId="0" xfId="0" applyFont="1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/>
    </xf>
    <xf numFmtId="9" fontId="0" fillId="0" borderId="0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5" fontId="0" fillId="0" borderId="0" xfId="2" applyNumberFormat="1" applyFont="1" applyFill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/>
    <xf numFmtId="9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vertical="center"/>
    </xf>
    <xf numFmtId="0" fontId="0" fillId="0" borderId="0" xfId="0" applyProtection="1">
      <protection locked="0"/>
    </xf>
    <xf numFmtId="165" fontId="0" fillId="0" borderId="0" xfId="2" applyNumberFormat="1" applyFont="1" applyFill="1" applyBorder="1" applyProtection="1">
      <protection locked="0"/>
    </xf>
    <xf numFmtId="9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6" fontId="9" fillId="0" borderId="1" xfId="3" applyNumberFormat="1" applyFont="1" applyBorder="1" applyAlignment="1">
      <alignment horizontal="left" vertical="center"/>
    </xf>
    <xf numFmtId="166" fontId="5" fillId="0" borderId="0" xfId="0" applyNumberFormat="1" applyFont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10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6" fontId="9" fillId="0" borderId="0" xfId="3" applyNumberFormat="1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6" fontId="9" fillId="0" borderId="2" xfId="3" applyNumberFormat="1" applyFont="1" applyBorder="1" applyAlignment="1">
      <alignment horizontal="center" vertical="center"/>
    </xf>
    <xf numFmtId="166" fontId="9" fillId="0" borderId="3" xfId="3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/>
    </xf>
  </cellXfs>
  <cellStyles count="4">
    <cellStyle name="Milliers" xfId="3" builtinId="3"/>
    <cellStyle name="Milliers 2" xfId="2" xr:uid="{00000000-0005-0000-0000-000001000000}"/>
    <cellStyle name="Normal" xfId="0" builtinId="0"/>
    <cellStyle name="Pourcentage" xfId="1" builtinId="5"/>
  </cellStyles>
  <dxfs count="19"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3" formatCode="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ent THEODET" refreshedDate="45723.712396180556" createdVersion="4" refreshedVersion="4" minRefreshableVersion="3" recordCount="131" xr:uid="{00000000-000A-0000-FFFF-FFFF40000000}">
  <cacheSource type="worksheet">
    <worksheetSource name="Tableau2"/>
  </cacheSource>
  <cacheFields count="18">
    <cacheField name="SCA" numFmtId="0">
      <sharedItems count="16">
        <s v="LECASUD"/>
        <s v="SCACENTRE"/>
        <s v="SCACHAP"/>
        <s v="SCADIF"/>
        <s v="SCALANDES"/>
        <s v="SCANORMANDE"/>
        <s v="SCAOUEST"/>
        <s v="SCAPALSACE"/>
        <s v="SCAPARTOIS"/>
        <s v="SCAPEST"/>
        <s v="SCAPNOR"/>
        <s v="SCARMOR"/>
        <s v="SCASO"/>
        <s v="SOCAMAINE"/>
        <s v="SOCAMIL"/>
        <s v="SOCARA"/>
      </sharedItems>
    </cacheField>
    <cacheField name="Entrepot" numFmtId="0">
      <sharedItems containsBlank="1" containsMixedTypes="1" containsNumber="1" containsInteger="1" minValue="30" maxValue="30"/>
    </cacheField>
    <cacheField name="Numéro d'entrepôt" numFmtId="0">
      <sharedItems containsNonDate="0" containsString="0" containsBlank="1"/>
    </cacheField>
    <cacheField name="Interne/ externe" numFmtId="0">
      <sharedItems containsBlank="1"/>
    </cacheField>
    <cacheField name="Debord" numFmtId="0">
      <sharedItems containsBlank="1"/>
    </cacheField>
    <cacheField name="Température" numFmtId="0">
      <sharedItems/>
    </cacheField>
    <cacheField name="Automatisé ?" numFmtId="0">
      <sharedItems containsBlank="1"/>
    </cacheField>
    <cacheField name="GT prise en charge" numFmtId="0">
      <sharedItems containsBlank="1" containsMixedTypes="1" containsNumber="1" minValue="1.5" maxValue="57"/>
    </cacheField>
    <cacheField name="Surface (m²)" numFmtId="0">
      <sharedItems containsBlank="1" containsMixedTypes="1" containsNumber="1" containsInteger="1" minValue="250" maxValue="50000"/>
    </cacheField>
    <cacheField name="Hauteur (m)" numFmtId="0">
      <sharedItems containsBlank="1" containsMixedTypes="1" containsNumber="1" minValue="4.5" maxValue="42"/>
    </cacheField>
    <cacheField name="Capacité de stockage (palette)" numFmtId="0">
      <sharedItems containsBlank="1" containsMixedTypes="1" containsNumber="1" containsInteger="1" minValue="0" maxValue="72400"/>
    </cacheField>
    <cacheField name="Taux de saturation stock" numFmtId="0">
      <sharedItems containsBlank="1" containsMixedTypes="1" containsNumber="1" minValue="0" maxValue="80"/>
    </cacheField>
    <cacheField name="Capacité de flux (palette/j)" numFmtId="0">
      <sharedItems containsBlank="1" containsMixedTypes="1" containsNumber="1" containsInteger="1" minValue="0" maxValue="10695"/>
    </cacheField>
    <cacheField name="Capacité de flux (colis/j)" numFmtId="0">
      <sharedItems containsBlank="1" containsMixedTypes="1" containsNumber="1" minValue="0" maxValue="240000"/>
    </cacheField>
    <cacheField name="Taux de saturation Flux" numFmtId="0">
      <sharedItems containsBlank="1" containsMixedTypes="1" containsNumber="1" minValue="0" maxValue="106"/>
    </cacheField>
    <cacheField name="Date de construction" numFmtId="0">
      <sharedItems containsBlank="1" containsMixedTypes="1" containsNumber="1" containsInteger="1" minValue="1960" maxValue="2023"/>
    </cacheField>
    <cacheField name="Foncier Supplémentaire" numFmtId="0">
      <sharedItems containsBlank="1" containsMixedTypes="1" containsNumber="1" containsInteger="1" minValue="0" maxValue="73300"/>
    </cacheField>
    <cacheField name="Colis total" numFmtId="0">
      <sharedItems containsString="0" containsBlank="1" containsNumber="1" containsInteger="1" minValue="14500" maxValue="1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1">
  <r>
    <x v="0"/>
    <s v="Cabannes"/>
    <m/>
    <s v="Externe"/>
    <s v="Non"/>
    <s v="Frais"/>
    <s v="Flux tendu"/>
    <n v="5"/>
    <n v="15000"/>
    <m/>
    <m/>
    <m/>
    <m/>
    <m/>
    <m/>
    <s v="/"/>
    <n v="73300"/>
    <m/>
  </r>
  <r>
    <x v="0"/>
    <s v="Le Luc"/>
    <m/>
    <s v="Interne"/>
    <s v="Non"/>
    <s v="Frais"/>
    <s v="Flux tendu"/>
    <n v="5"/>
    <n v="11500"/>
    <m/>
    <m/>
    <m/>
    <m/>
    <m/>
    <m/>
    <s v="Avant 2000"/>
    <m/>
    <m/>
  </r>
  <r>
    <x v="0"/>
    <s v="Cabedan"/>
    <m/>
    <s v="Externe"/>
    <s v="Non"/>
    <s v="Sec"/>
    <s v="Racks - Masse"/>
    <s v="1 et 2"/>
    <n v="35000"/>
    <m/>
    <n v="31000"/>
    <m/>
    <m/>
    <m/>
    <m/>
    <s v="/"/>
    <m/>
    <m/>
  </r>
  <r>
    <x v="0"/>
    <s v="Le Luc"/>
    <m/>
    <s v="Interne"/>
    <s v="Non"/>
    <s v="Sec"/>
    <s v="Racks - Masse"/>
    <s v="1 et 2"/>
    <n v="44000"/>
    <n v="10"/>
    <n v="34000"/>
    <m/>
    <m/>
    <m/>
    <m/>
    <s v="Avant 2000"/>
    <m/>
    <m/>
  </r>
  <r>
    <x v="0"/>
    <s v="Miramas"/>
    <m/>
    <s v="Externe"/>
    <s v="Non"/>
    <s v="Surgelé"/>
    <s v="Racks"/>
    <n v="9"/>
    <s v="5 000"/>
    <m/>
    <n v="1000"/>
    <m/>
    <m/>
    <m/>
    <m/>
    <s v="/"/>
    <m/>
    <m/>
  </r>
  <r>
    <x v="0"/>
    <s v="Le Luc"/>
    <m/>
    <s v="Interne"/>
    <s v="Non"/>
    <s v="Surgelé"/>
    <s v="Racks"/>
    <n v="9"/>
    <n v="3500"/>
    <m/>
    <n v="2000"/>
    <m/>
    <m/>
    <m/>
    <m/>
    <s v="Avant 2000"/>
    <m/>
    <m/>
  </r>
  <r>
    <x v="0"/>
    <s v="Saint-Martin-de-Crau"/>
    <m/>
    <s v="Externe"/>
    <s v="Non"/>
    <s v="Sec"/>
    <s v="Racks - Masse"/>
    <s v="3, 4 et bazar"/>
    <n v="42000"/>
    <m/>
    <n v="33500"/>
    <m/>
    <m/>
    <m/>
    <m/>
    <s v="/"/>
    <m/>
    <m/>
  </r>
  <r>
    <x v="1"/>
    <s v="SCA2 frais"/>
    <m/>
    <s v="Interne"/>
    <s v="Non"/>
    <s v="Frais"/>
    <s v="dalle"/>
    <n v="1.5"/>
    <n v="8299"/>
    <n v="9"/>
    <s v="Dalle"/>
    <n v="0.9"/>
    <n v="1900"/>
    <n v="80000"/>
    <n v="100"/>
    <n v="2011"/>
    <m/>
    <m/>
  </r>
  <r>
    <x v="1"/>
    <s v="SCA2 lait transit"/>
    <m/>
    <s v="Interne"/>
    <s v="Non"/>
    <s v="Frais"/>
    <s v="dalle"/>
    <s v="1,2,5,3"/>
    <n v="3545"/>
    <n v="9"/>
    <s v="Dalle"/>
    <n v="0.5"/>
    <m/>
    <m/>
    <m/>
    <n v="2011"/>
    <m/>
    <m/>
  </r>
  <r>
    <x v="1"/>
    <s v="SCA2 marée"/>
    <m/>
    <s v="Interne"/>
    <s v="Non"/>
    <s v="Frais"/>
    <s v="dalle"/>
    <n v="5"/>
    <n v="390"/>
    <n v="9"/>
    <s v="Dalle"/>
    <n v="0.1"/>
    <n v="100"/>
    <m/>
    <m/>
    <n v="2011"/>
    <m/>
    <m/>
  </r>
  <r>
    <x v="1"/>
    <s v="SCA2 FL"/>
    <m/>
    <s v="Interne"/>
    <s v="Non"/>
    <s v="Frais"/>
    <s v="dalle"/>
    <n v="5"/>
    <n v="2253"/>
    <n v="9"/>
    <s v="Dalle"/>
    <m/>
    <n v="500"/>
    <m/>
    <n v="80"/>
    <n v="2011"/>
    <m/>
    <m/>
  </r>
  <r>
    <x v="1"/>
    <s v="SCA1 surgelé"/>
    <m/>
    <s v="Interne"/>
    <s v="Non"/>
    <s v="Surgelé"/>
    <s v="rack"/>
    <s v="57, 53"/>
    <n v="1705"/>
    <m/>
    <m/>
    <n v="0.8"/>
    <s v="a compléter par sca"/>
    <m/>
    <m/>
    <s v="a compléter par sca"/>
    <m/>
    <m/>
  </r>
  <r>
    <x v="1"/>
    <s v="SCA1 trieur sec &amp; BVP surgelé"/>
    <m/>
    <s v="Interne"/>
    <s v="Non"/>
    <s v="Frais"/>
    <s v="dalle"/>
    <s v="Pour analyse = Frais mais donnée = sec + frais "/>
    <n v="1502"/>
    <m/>
    <m/>
    <n v="0.85"/>
    <m/>
    <m/>
    <m/>
    <s v="a compléter par sca"/>
    <m/>
    <m/>
  </r>
  <r>
    <x v="1"/>
    <s v="SCA1 transit trieur plus sas surgelé"/>
    <m/>
    <s v="Interne"/>
    <s v="Non"/>
    <s v="Surgelé"/>
    <s v="dalle"/>
    <s v="Pour analyse = Frais mais donnée = surg  + frais "/>
    <n v="1560"/>
    <m/>
    <m/>
    <n v="0.85"/>
    <m/>
    <m/>
    <m/>
    <s v="a compléter par sca"/>
    <m/>
    <m/>
  </r>
  <r>
    <x v="1"/>
    <s v="SCA1 bazar textile éclatement"/>
    <m/>
    <s v="Interne"/>
    <s v="Non"/>
    <s v="Sec"/>
    <s v="dalle"/>
    <s v="BAZAR"/>
    <n v="4659"/>
    <m/>
    <m/>
    <n v="0.85"/>
    <m/>
    <m/>
    <m/>
    <s v="a compléter par sca"/>
    <m/>
    <m/>
  </r>
  <r>
    <x v="1"/>
    <s v="SCA1 DPH flux tendu sec plus bazar"/>
    <m/>
    <s v="Interne"/>
    <s v="Non"/>
    <s v="Sec"/>
    <s v="rack"/>
    <s v="3, et bazar"/>
    <n v="3170"/>
    <m/>
    <m/>
    <n v="0.85"/>
    <m/>
    <m/>
    <m/>
    <s v="a compléter par sca"/>
    <m/>
    <m/>
  </r>
  <r>
    <x v="1"/>
    <s v="SCA1 épicerie"/>
    <m/>
    <s v="Interne"/>
    <s v="Non"/>
    <s v="Sec"/>
    <s v="rack"/>
    <m/>
    <n v="660"/>
    <m/>
    <m/>
    <n v="0.85"/>
    <m/>
    <m/>
    <m/>
    <s v="a compléter par sca"/>
    <m/>
    <m/>
  </r>
  <r>
    <x v="1"/>
    <s v="SCA1 chien"/>
    <m/>
    <s v="Interne"/>
    <s v="Non"/>
    <s v="Sec"/>
    <s v="rack"/>
    <m/>
    <n v="1000"/>
    <m/>
    <m/>
    <n v="0.85"/>
    <m/>
    <m/>
    <m/>
    <s v="a compléter par sca"/>
    <m/>
    <m/>
  </r>
  <r>
    <x v="1"/>
    <n v="30"/>
    <m/>
    <s v="Interne"/>
    <s v="Non"/>
    <s v="Sec"/>
    <s v="rack"/>
    <m/>
    <n v="4202"/>
    <m/>
    <m/>
    <n v="0.85"/>
    <m/>
    <m/>
    <m/>
    <s v="a compléter par sca"/>
    <m/>
    <m/>
  </r>
  <r>
    <x v="1"/>
    <s v="SCA1 flux tendu mainenance chariot et eurack"/>
    <m/>
    <s v="Interne"/>
    <s v="Non"/>
    <s v="Sec"/>
    <s v="rack"/>
    <m/>
    <n v="2330"/>
    <m/>
    <m/>
    <n v="0.85"/>
    <m/>
    <m/>
    <m/>
    <s v="a compléter par sca"/>
    <m/>
    <m/>
  </r>
  <r>
    <x v="1"/>
    <s v="SCA1 produits dangereux"/>
    <m/>
    <s v="Interne"/>
    <s v="Non"/>
    <s v="Sec"/>
    <s v="rack"/>
    <m/>
    <n v="710"/>
    <m/>
    <m/>
    <n v="0.85"/>
    <m/>
    <m/>
    <m/>
    <s v="a compléter par sca"/>
    <m/>
    <m/>
  </r>
  <r>
    <x v="1"/>
    <s v="SCA1 maintenance plus dematic"/>
    <m/>
    <s v="Interne"/>
    <s v="Non"/>
    <s v="Sec"/>
    <s v="dalle"/>
    <m/>
    <n v="324"/>
    <m/>
    <m/>
    <n v="0.85"/>
    <m/>
    <m/>
    <m/>
    <s v="a compléter par sca"/>
    <m/>
    <m/>
  </r>
  <r>
    <x v="1"/>
    <s v="SCA1 AMCAP plus réception"/>
    <m/>
    <s v="Interne"/>
    <s v="Non"/>
    <s v="Sec"/>
    <s v="mécanisé"/>
    <m/>
    <n v="8958"/>
    <m/>
    <m/>
    <n v="0.85"/>
    <m/>
    <m/>
    <m/>
    <s v="a compléter par sca"/>
    <m/>
    <m/>
  </r>
  <r>
    <x v="1"/>
    <s v="SCA1 MGH (magasin grande hauteur)"/>
    <m/>
    <s v="Interne"/>
    <s v="Non"/>
    <s v="Sec"/>
    <s v="mécanisé"/>
    <m/>
    <n v="4998"/>
    <m/>
    <m/>
    <n v="0.85"/>
    <m/>
    <m/>
    <m/>
    <s v="a compléter par sca"/>
    <m/>
    <m/>
  </r>
  <r>
    <x v="1"/>
    <s v="SCA1 expédition"/>
    <m/>
    <s v="Interne"/>
    <s v="Non"/>
    <s v="Sec"/>
    <s v="mécanisé"/>
    <m/>
    <n v="2269"/>
    <m/>
    <m/>
    <n v="0.85"/>
    <m/>
    <m/>
    <m/>
    <s v="a compléter par sca"/>
    <m/>
    <m/>
  </r>
  <r>
    <x v="1"/>
    <s v="SCA1 zone transit"/>
    <m/>
    <s v="Interne"/>
    <s v="Non"/>
    <s v="Sec"/>
    <s v="dalle"/>
    <m/>
    <n v="1655"/>
    <m/>
    <m/>
    <n v="0.85"/>
    <m/>
    <m/>
    <m/>
    <s v="a compléter par sca"/>
    <m/>
    <m/>
  </r>
  <r>
    <x v="1"/>
    <s v="SCA1 GT2"/>
    <m/>
    <s v="Interne"/>
    <s v="Non"/>
    <s v="Sec"/>
    <s v="dalle"/>
    <m/>
    <n v="4000"/>
    <m/>
    <m/>
    <n v="0.85"/>
    <m/>
    <m/>
    <m/>
    <s v="a compléter par sca"/>
    <m/>
    <m/>
  </r>
  <r>
    <x v="1"/>
    <s v="THEVENET"/>
    <m/>
    <s v="Interne"/>
    <s v="Non"/>
    <s v="Surgelé"/>
    <s v="rack mobile"/>
    <m/>
    <n v="850"/>
    <m/>
    <m/>
    <n v="0.85"/>
    <m/>
    <m/>
    <m/>
    <s v="a compléter par sca"/>
    <m/>
    <m/>
  </r>
  <r>
    <x v="2"/>
    <s v="Entrepot non al"/>
    <m/>
    <s v="Interne "/>
    <s v="Non"/>
    <s v="Sec"/>
    <s v="Non"/>
    <s v="41 à 46, 6, bazar"/>
    <n v="22842"/>
    <n v="6"/>
    <n v="11000"/>
    <n v="0.8"/>
    <s v="?"/>
    <n v="14000"/>
    <n v="0.9"/>
    <s v="1977 et 1986"/>
    <m/>
    <m/>
  </r>
  <r>
    <x v="2"/>
    <s v="Entrepot surgeles"/>
    <m/>
    <s v="Interne "/>
    <s v="Non"/>
    <s v="Surgelé"/>
    <s v="Non"/>
    <n v="57"/>
    <n v="5311"/>
    <n v="7"/>
    <n v="2700"/>
    <n v="0.8"/>
    <m/>
    <n v="13000"/>
    <n v="0.85"/>
    <s v="1986 et 1990 et 2012 et 2018"/>
    <m/>
    <m/>
  </r>
  <r>
    <x v="2"/>
    <s v="Enterpot PGC"/>
    <m/>
    <s v="Interne "/>
    <s v="Non"/>
    <s v="Sec"/>
    <s v="Non"/>
    <s v="1,2,3"/>
    <n v="42000"/>
    <n v="10"/>
    <n v="27900"/>
    <n v="0.85"/>
    <m/>
    <n v="120000"/>
    <n v="0.9"/>
    <s v="1992 et 2012"/>
    <m/>
    <m/>
  </r>
  <r>
    <x v="2"/>
    <s v="Entrepot frais fruits et legumes"/>
    <m/>
    <s v="Interne "/>
    <s v="Non"/>
    <s v="Frais"/>
    <s v="Non"/>
    <s v="50 à 56, 58"/>
    <n v="30000"/>
    <n v="5"/>
    <m/>
    <m/>
    <n v="2600"/>
    <n v="140000"/>
    <n v="0.65"/>
    <s v="2000 et 2021"/>
    <m/>
    <m/>
  </r>
  <r>
    <x v="2"/>
    <s v="Angouleme Boisson"/>
    <m/>
    <s v="Externe"/>
    <s v="Non"/>
    <s v="Sec"/>
    <s v="Non"/>
    <n v="2.2999999999999998"/>
    <n v="15000"/>
    <m/>
    <n v="11000"/>
    <n v="0.8"/>
    <s v="?"/>
    <s v="?"/>
    <m/>
    <s v="fin 70"/>
    <m/>
    <m/>
  </r>
  <r>
    <x v="3"/>
    <s v="REAU : Surgelés"/>
    <m/>
    <s v="Interne"/>
    <s v="Non"/>
    <s v="Surgelé"/>
    <s v="rack"/>
    <s v="GT 5"/>
    <n v="6000"/>
    <n v="12"/>
    <n v="4000"/>
    <n v="75"/>
    <n v="400"/>
    <n v="16000"/>
    <n v="70"/>
    <n v="2022"/>
    <m/>
    <m/>
  </r>
  <r>
    <x v="3"/>
    <s v="SAVIGNY : NonAl + Ops GT1 et GT3"/>
    <m/>
    <s v="Externe"/>
    <s v="Non"/>
    <s v="Sec"/>
    <s v="Racks + Masses"/>
    <s v="GT 11 / 4 / 6"/>
    <n v="18000"/>
    <n v="11"/>
    <n v="10000"/>
    <n v="70"/>
    <n v="1000"/>
    <n v="40000"/>
    <n v="65"/>
    <n v="1984"/>
    <m/>
    <m/>
  </r>
  <r>
    <x v="3"/>
    <s v="REAU : Entrepôts Grande Hauteur"/>
    <m/>
    <s v="Interne"/>
    <s v="Non"/>
    <s v="Sec"/>
    <s v="Automatisé"/>
    <s v="GT 1 / 2 / 3"/>
    <n v="12000"/>
    <n v="35"/>
    <n v="58860"/>
    <n v="50"/>
    <n v="3000"/>
    <s v="-"/>
    <n v="50"/>
    <n v="2022"/>
    <m/>
    <m/>
  </r>
  <r>
    <x v="3"/>
    <s v="REAU : Préparation de commandes automatisé"/>
    <m/>
    <s v="Interne"/>
    <s v="Oui"/>
    <s v="Sec"/>
    <s v="Automatisé"/>
    <s v="GT 1 / 2 / 3"/>
    <n v="6000"/>
    <n v="21"/>
    <n v="4000"/>
    <n v="75"/>
    <n v="1700"/>
    <n v="105000"/>
    <n v="50"/>
    <n v="2022"/>
    <m/>
    <m/>
  </r>
  <r>
    <x v="3"/>
    <s v="REAU : Conventionnel"/>
    <m/>
    <s v="Interne"/>
    <s v="Non"/>
    <s v="Sec"/>
    <s v="rack"/>
    <s v="GT 1 / 2 / 3"/>
    <n v="12000"/>
    <n v="16"/>
    <n v="13000"/>
    <n v="80"/>
    <n v="1000"/>
    <n v="40000"/>
    <n v="70"/>
    <n v="2022"/>
    <m/>
    <m/>
  </r>
  <r>
    <x v="3"/>
    <s v="REAU : Quais PGC"/>
    <m/>
    <s v="Interne"/>
    <s v="Non"/>
    <s v="Sec"/>
    <s v="Masse"/>
    <s v="GT 1 / 2 / 3"/>
    <n v="9300"/>
    <n v="8"/>
    <n v="1700"/>
    <n v="70"/>
    <n v="3000"/>
    <n v="150000"/>
    <n v="60"/>
    <n v="2022"/>
    <m/>
    <m/>
  </r>
  <r>
    <x v="3"/>
    <s v="REAU : Produits frais"/>
    <m/>
    <s v="Interne"/>
    <s v="Oui"/>
    <s v="Frais"/>
    <s v="Masse"/>
    <s v="GT 5"/>
    <n v="8000"/>
    <n v="5"/>
    <n v="1500"/>
    <n v="75"/>
    <n v="2000"/>
    <n v="100000"/>
    <n v="80"/>
    <n v="2022"/>
    <m/>
    <m/>
  </r>
  <r>
    <x v="3"/>
    <s v="REAU : Fruits et légumes"/>
    <m/>
    <s v="Interne"/>
    <s v="Oui"/>
    <s v="Frais"/>
    <s v="Masse"/>
    <s v="GT5"/>
    <n v="8000"/>
    <n v="5"/>
    <n v="1500"/>
    <n v="60"/>
    <n v="2000"/>
    <n v="100000"/>
    <n v="60"/>
    <n v="2022"/>
    <m/>
    <m/>
  </r>
  <r>
    <x v="4"/>
    <s v="SCA3"/>
    <m/>
    <s v="Interne "/>
    <s v="Non"/>
    <s v="Sec"/>
    <s v="rack et shuttle semi auto et rack avec charriot guide "/>
    <s v="picking liquide, stockage OP PGC, palette complète liquide, picking animaux"/>
    <n v="18000"/>
    <n v="13"/>
    <m/>
    <n v="0.9"/>
    <n v="1500"/>
    <n v="54000"/>
    <n v="0.9"/>
    <n v="2003"/>
    <s v="20 Ha"/>
    <m/>
  </r>
  <r>
    <x v="4"/>
    <s v="SCA5"/>
    <m/>
    <s v="Interne "/>
    <s v="Non"/>
    <s v="Sec"/>
    <s v="rack et masse"/>
    <s v="sec/bazar/textile entrepot saisonnier"/>
    <n v="24000"/>
    <n v="8.5"/>
    <n v="6500"/>
    <n v="0.85"/>
    <n v="1000"/>
    <n v="18000"/>
    <n v="0.6"/>
    <n v="2008"/>
    <s v="20 Ha"/>
    <m/>
  </r>
  <r>
    <x v="4"/>
    <s v="SCA2"/>
    <m/>
    <s v="Interne "/>
    <s v="Non"/>
    <s v="Sec"/>
    <s v="rack et masse"/>
    <s v="picking PGC, OP PGC, APPG GT2, palette complète liquide"/>
    <n v="36000"/>
    <n v="8"/>
    <m/>
    <n v="0.85"/>
    <n v="1500"/>
    <n v="54000"/>
    <n v="0.8"/>
    <s v="1992 et 1996"/>
    <s v="20 Ha"/>
    <m/>
  </r>
  <r>
    <x v="4"/>
    <s v="SCA1"/>
    <m/>
    <s v="Interne "/>
    <s v="Non"/>
    <s v="Frais"/>
    <s v="frais crossdock"/>
    <s v="Charcuterie, crémerie, saurisserie, œuf, fruit sec, boucherie/volaille"/>
    <n v="5000"/>
    <n v="4.5"/>
    <m/>
    <m/>
    <n v="550"/>
    <n v="33333"/>
    <s v="pic 90%"/>
    <s v="1992 extension 2001"/>
    <s v="20 Ha"/>
    <m/>
  </r>
  <r>
    <x v="4"/>
    <s v="Surface de débord textile"/>
    <m/>
    <s v="Externe"/>
    <s v="Oui "/>
    <s v="Sec"/>
    <m/>
    <s v="textile"/>
    <n v="3000"/>
    <m/>
    <s v="crossdock"/>
    <m/>
    <m/>
    <m/>
    <n v="0.8"/>
    <m/>
    <s v="20 Ha"/>
    <m/>
  </r>
  <r>
    <x v="4"/>
    <s v="SCA4"/>
    <m/>
    <s v="Interne "/>
    <s v="Non"/>
    <s v="Surgelé"/>
    <s v="rack "/>
    <s v="tous les produits surgelés"/>
    <n v="10000"/>
    <n v="12"/>
    <n v="5200"/>
    <n v="0.9"/>
    <n v="190"/>
    <n v="290"/>
    <n v="0.25"/>
    <s v="2005 et 2015 et 2020"/>
    <s v="20 Ha"/>
    <m/>
  </r>
  <r>
    <x v="5"/>
    <s v="Touques Auge"/>
    <m/>
    <s v="Interne "/>
    <s v="Non"/>
    <s v="Sec"/>
    <s v="TK + Racks + Masse"/>
    <s v="PGC"/>
    <n v="36658"/>
    <m/>
    <m/>
    <n v="0.9"/>
    <m/>
    <m/>
    <m/>
    <s v="Avant 2000"/>
    <n v="42500"/>
    <m/>
  </r>
  <r>
    <x v="5"/>
    <s v="Verte Vallée"/>
    <m/>
    <s v="Interne "/>
    <s v="Non"/>
    <s v="Sec"/>
    <m/>
    <m/>
    <n v="20521"/>
    <m/>
    <m/>
    <n v="0.9"/>
    <m/>
    <m/>
    <m/>
    <s v="Avant 2000"/>
    <n v="42500"/>
    <m/>
  </r>
  <r>
    <x v="5"/>
    <s v="Petit Lieu FRAIS"/>
    <m/>
    <s v="Interne "/>
    <s v="Non"/>
    <s v="Frais"/>
    <m/>
    <m/>
    <n v="6200"/>
    <m/>
    <m/>
    <n v="0.85"/>
    <m/>
    <m/>
    <m/>
    <s v="Avant 2000"/>
    <n v="42500"/>
    <m/>
  </r>
  <r>
    <x v="5"/>
    <s v="EVA"/>
    <m/>
    <s v="Interne "/>
    <s v="Non"/>
    <s v="Sec"/>
    <m/>
    <m/>
    <n v="15000"/>
    <m/>
    <m/>
    <n v="0.9"/>
    <m/>
    <m/>
    <m/>
    <n v="2018"/>
    <n v="42500"/>
    <m/>
  </r>
  <r>
    <x v="5"/>
    <s v="TEDI"/>
    <m/>
    <s v="Interne "/>
    <s v="Non"/>
    <s v="Frais"/>
    <m/>
    <m/>
    <n v="12000"/>
    <m/>
    <m/>
    <n v="0.85"/>
    <m/>
    <m/>
    <m/>
    <n v="2018"/>
    <n v="42500"/>
    <m/>
  </r>
  <r>
    <x v="5"/>
    <s v="Saint-Desir"/>
    <m/>
    <s v="Externe"/>
    <s v="Oui "/>
    <s v="Sec"/>
    <m/>
    <s v="Liquides"/>
    <m/>
    <m/>
    <m/>
    <m/>
    <m/>
    <m/>
    <m/>
    <m/>
    <n v="42500"/>
    <m/>
  </r>
  <r>
    <x v="5"/>
    <s v="Euro"/>
    <m/>
    <s v="Externe"/>
    <s v="Non"/>
    <s v="Sec"/>
    <m/>
    <s v="Parf"/>
    <m/>
    <m/>
    <m/>
    <m/>
    <m/>
    <m/>
    <m/>
    <m/>
    <n v="42500"/>
    <m/>
  </r>
  <r>
    <x v="5"/>
    <s v="Petit Lieu SURGELES"/>
    <m/>
    <s v="Interne "/>
    <s v="Non"/>
    <s v="Surgelé"/>
    <m/>
    <m/>
    <n v="2300"/>
    <m/>
    <m/>
    <n v="0.98"/>
    <m/>
    <m/>
    <m/>
    <s v="Avant 2000"/>
    <n v="42500"/>
    <m/>
  </r>
  <r>
    <x v="5"/>
    <s v="Stef"/>
    <m/>
    <s v="Externe"/>
    <s v="Non"/>
    <s v="Surgelé"/>
    <m/>
    <s v="Surgelés"/>
    <m/>
    <m/>
    <m/>
    <n v="0.9"/>
    <m/>
    <m/>
    <m/>
    <m/>
    <n v="42500"/>
    <m/>
  </r>
  <r>
    <x v="6"/>
    <s v="01 BAZAR - PETFOOD-LAIT"/>
    <m/>
    <s v="Interne"/>
    <s v="Non"/>
    <s v="Sec"/>
    <s v="Racks / Masse"/>
    <s v="GT 1 - 2- 3 - 4 - 5"/>
    <n v="18450"/>
    <n v="7"/>
    <m/>
    <n v="0.8"/>
    <m/>
    <m/>
    <m/>
    <n v="2004"/>
    <s v="13000 m2"/>
    <m/>
  </r>
  <r>
    <x v="6"/>
    <s v="02 ALCOOL - TEXTILE"/>
    <m/>
    <s v="Interne"/>
    <s v="Non"/>
    <s v="Sec"/>
    <s v="Racks / Masse"/>
    <s v="GT 2 - 6 "/>
    <n v="11490"/>
    <n v="5"/>
    <m/>
    <n v="0.8"/>
    <m/>
    <m/>
    <m/>
    <n v="2004"/>
    <m/>
    <m/>
  </r>
  <r>
    <x v="6"/>
    <s v="03 FRUITS &amp;LÉGUMES"/>
    <m/>
    <s v="Interne"/>
    <s v="Non"/>
    <s v="Frais"/>
    <s v="Masse"/>
    <s v="GT 1 -5"/>
    <n v="4400"/>
    <s v="sol"/>
    <m/>
    <n v="1"/>
    <m/>
    <m/>
    <m/>
    <n v="2010"/>
    <m/>
    <m/>
  </r>
  <r>
    <x v="6"/>
    <s v="05 FRAIS"/>
    <m/>
    <s v="Interne"/>
    <s v="Non"/>
    <s v="Frais"/>
    <s v="Masse"/>
    <s v="GT 5"/>
    <n v="11590"/>
    <s v="sol"/>
    <m/>
    <n v="1"/>
    <m/>
    <m/>
    <m/>
    <n v="2008"/>
    <m/>
    <m/>
  </r>
  <r>
    <x v="6"/>
    <s v="06 PGC"/>
    <m/>
    <s v="Interne"/>
    <s v="Non"/>
    <s v="Sec"/>
    <s v="Partiellement mécanisé"/>
    <s v="GT 1- 2 - 3"/>
    <n v="50000"/>
    <n v="10"/>
    <m/>
    <n v="0.8"/>
    <m/>
    <m/>
    <m/>
    <n v="2000"/>
    <m/>
    <m/>
  </r>
  <r>
    <x v="6"/>
    <s v="07 PGC AUTOMATISÉ"/>
    <m/>
    <s v="Interne"/>
    <s v="Non"/>
    <s v="Sec"/>
    <s v="Automatisé"/>
    <s v="GT 1- 2 - 3"/>
    <n v="10000"/>
    <n v="18"/>
    <m/>
    <n v="0.8"/>
    <m/>
    <m/>
    <m/>
    <n v="2015"/>
    <m/>
    <m/>
  </r>
  <r>
    <x v="6"/>
    <s v="BAM "/>
    <m/>
    <s v="Interne"/>
    <s v="Non"/>
    <s v="Sec"/>
    <s v="Masse"/>
    <s v="GT 1 - 2- 3 - 4"/>
    <n v="3610"/>
    <n v="5"/>
    <m/>
    <n v="0.5"/>
    <m/>
    <m/>
    <m/>
    <m/>
    <m/>
    <m/>
  </r>
  <r>
    <x v="6"/>
    <s v="TSF (ponctuel 2023 suite trvx sur site)"/>
    <m/>
    <s v="Externe"/>
    <s v="Oui"/>
    <s v="Sec"/>
    <s v="Masse"/>
    <s v="GT 2"/>
    <n v="1500"/>
    <m/>
    <m/>
    <m/>
    <m/>
    <m/>
    <m/>
    <m/>
    <m/>
    <m/>
  </r>
  <r>
    <x v="6"/>
    <s v="LOGILAURE (ponctuel 2023 suite trvx sur site)"/>
    <m/>
    <s v="Externe"/>
    <s v="Oui"/>
    <s v="Sec"/>
    <s v="rack"/>
    <s v="GT 2"/>
    <n v="1500"/>
    <m/>
    <m/>
    <m/>
    <m/>
    <m/>
    <m/>
    <m/>
    <m/>
    <m/>
  </r>
  <r>
    <x v="6"/>
    <s v="04 SURGELÉS"/>
    <m/>
    <s v="Interne"/>
    <s v="Non"/>
    <s v="Surgelé"/>
    <s v="Racks / Masse"/>
    <s v="GT 5"/>
    <n v="4420"/>
    <n v="5"/>
    <m/>
    <n v="0.9"/>
    <m/>
    <m/>
    <m/>
    <n v="2010"/>
    <m/>
    <m/>
  </r>
  <r>
    <x v="6"/>
    <s v="07 BIS PGC AUTOMATISE (en construction)"/>
    <m/>
    <s v="Interne"/>
    <s v="Non"/>
    <s v="Sec"/>
    <s v="Automatisé"/>
    <s v="GT 1- 2 - 3"/>
    <n v="10000"/>
    <n v="18"/>
    <m/>
    <m/>
    <m/>
    <m/>
    <m/>
    <m/>
    <m/>
    <m/>
  </r>
  <r>
    <x v="6"/>
    <s v="DERVAL (TSF) (ponctuel 2023 suite trvx sur site)"/>
    <m/>
    <s v="Externe"/>
    <s v="Oui"/>
    <s v="Surgelé"/>
    <s v="Masse"/>
    <s v="GT 5"/>
    <n v="250"/>
    <m/>
    <m/>
    <m/>
    <m/>
    <m/>
    <m/>
    <m/>
    <m/>
    <m/>
  </r>
  <r>
    <x v="7"/>
    <s v="Colmar"/>
    <m/>
    <s v="Interne"/>
    <s v="Non"/>
    <s v="Sec"/>
    <s v="Racks"/>
    <s v="1-2-3-4"/>
    <n v="36200"/>
    <m/>
    <n v="16000"/>
    <n v="0.8"/>
    <n v="2200"/>
    <n v="35000"/>
    <n v="0.53"/>
    <n v="1993"/>
    <m/>
    <m/>
  </r>
  <r>
    <x v="7"/>
    <s v="Colamar Haussmann"/>
    <m/>
    <s v="Interne"/>
    <s v="Oui"/>
    <s v="Sec"/>
    <s v="Racks/masse"/>
    <s v="1-2-3-4"/>
    <n v="10200"/>
    <n v="12.5"/>
    <n v="5400"/>
    <n v="0"/>
    <n v="0"/>
    <n v="0"/>
    <n v="0"/>
    <n v="1997"/>
    <m/>
    <m/>
  </r>
  <r>
    <x v="7"/>
    <s v="Niederhergheim - perle"/>
    <m/>
    <s v="Interne"/>
    <s v="Non"/>
    <s v="Sec"/>
    <s v="Automatisé/Mécanisé"/>
    <s v="1, 2 et 3"/>
    <n v="32000"/>
    <n v="32"/>
    <n v="38600"/>
    <n v="0.85"/>
    <n v="3200"/>
    <n v="120000"/>
    <n v="1"/>
    <n v="2013"/>
    <m/>
    <m/>
  </r>
  <r>
    <x v="7"/>
    <s v="Niederhergheim - Alfa"/>
    <m/>
    <s v="Interne"/>
    <s v="Non"/>
    <s v="Frais"/>
    <s v="Automatisé/Mécanisé"/>
    <n v="5"/>
    <n v="27000"/>
    <n v="17.5"/>
    <n v="0"/>
    <m/>
    <n v="3500"/>
    <n v="150000"/>
    <n v="0.71"/>
    <n v="2022"/>
    <m/>
    <m/>
  </r>
  <r>
    <x v="7"/>
    <s v="Colamar Papin"/>
    <m/>
    <s v="Interne"/>
    <s v="Non"/>
    <s v="Surgelé"/>
    <s v="Racks/masse"/>
    <n v="5"/>
    <n v="27050"/>
    <n v="14"/>
    <n v="3900"/>
    <n v="0.83"/>
    <n v="1600"/>
    <n v="50000"/>
    <n v="1"/>
    <s v="2002/2012/2018"/>
    <m/>
    <m/>
  </r>
  <r>
    <x v="8"/>
    <s v="SCAP1 - C6 / C8 Tradi"/>
    <m/>
    <s v="Interne"/>
    <s v="Non"/>
    <s v="Sec"/>
    <s v="rack"/>
    <s v="1/2/3/4"/>
    <n v="18000"/>
    <n v="10"/>
    <n v="6000"/>
    <n v="0.85"/>
    <n v="600"/>
    <n v="25000"/>
    <n v="1"/>
    <n v="2009"/>
    <s v="20KM²"/>
    <m/>
  </r>
  <r>
    <x v="8"/>
    <s v="SCAP1- C7 PROMO"/>
    <m/>
    <s v="Interne"/>
    <s v="Non"/>
    <s v="Sec"/>
    <s v="Masse"/>
    <s v="1/2/3/4"/>
    <n v="12000"/>
    <n v="10"/>
    <n v="0"/>
    <m/>
    <n v="400"/>
    <n v="12000"/>
    <n v="1"/>
    <n v="2009"/>
    <s v="20KM131"/>
    <m/>
  </r>
  <r>
    <x v="8"/>
    <s v="SCAP1 - FRAIS C9b/C10"/>
    <m/>
    <s v="Interne"/>
    <s v="Non"/>
    <s v="Frais"/>
    <s v="éclatement"/>
    <s v="5"/>
    <n v="15000"/>
    <n v="10"/>
    <n v="0"/>
    <m/>
    <n v="1900"/>
    <n v="113000"/>
    <n v="1.3"/>
    <n v="2017"/>
    <s v="20KM132"/>
    <m/>
  </r>
  <r>
    <x v="8"/>
    <s v="SCAP1- FLEG C9a"/>
    <m/>
    <s v="Interne"/>
    <s v="Non"/>
    <s v="Frais"/>
    <s v="éclatement"/>
    <s v="51/58"/>
    <n v="3000"/>
    <n v="10"/>
    <n v="0"/>
    <m/>
    <n v="400"/>
    <n v="17000"/>
    <n v="1.3"/>
    <n v="2017"/>
    <s v="20KM133"/>
    <m/>
  </r>
  <r>
    <x v="8"/>
    <s v="SCAP5 - Entrepot de débord tradi PGC pendant Travaux"/>
    <m/>
    <s v="Interne"/>
    <s v="Oui"/>
    <s v="Sec"/>
    <s v="rack"/>
    <s v="2"/>
    <n v="13000"/>
    <m/>
    <n v="10500"/>
    <n v="0.87"/>
    <s v="?"/>
    <n v="25000"/>
    <n v="0.95"/>
    <n v="2021"/>
    <s v="20KM135"/>
    <m/>
  </r>
  <r>
    <x v="8"/>
    <s v="SCAP2 - Entrepot de débord tradi PGC pendant Travaux"/>
    <m/>
    <s v="Interne"/>
    <s v="Oui"/>
    <s v="Sec"/>
    <s v="rack"/>
    <s v="2"/>
    <n v="32000"/>
    <n v="15"/>
    <n v="9500"/>
    <m/>
    <n v="0"/>
    <n v="0"/>
    <m/>
    <n v="2023"/>
    <s v="20KM136"/>
    <m/>
  </r>
  <r>
    <x v="8"/>
    <s v="SCAP1 - Automate"/>
    <m/>
    <s v="Interne"/>
    <s v="Non"/>
    <s v="Sec"/>
    <s v="Automatisé"/>
    <s v="GT 1 et 3 et 2 en stock promo seulement"/>
    <n v="37600"/>
    <n v="32"/>
    <n v="65000"/>
    <n v="0.75"/>
    <n v="3000"/>
    <n v="100000"/>
    <n v="1"/>
    <s v="1992/2018"/>
    <s v="20KM137"/>
    <m/>
  </r>
  <r>
    <x v="8"/>
    <s v="SCAP3 - SURGELE PRESTE STG"/>
    <m/>
    <s v="Externe"/>
    <s v="Non"/>
    <s v="Surgelé"/>
    <s v="rack"/>
    <s v="53/57"/>
    <n v="5090"/>
    <m/>
    <n v="4200"/>
    <n v="1.05"/>
    <m/>
    <n v="11000"/>
    <n v="0.9"/>
    <n v="2020"/>
    <s v="20KM134"/>
    <m/>
  </r>
  <r>
    <x v="9"/>
    <s v="Entrepôts Surgelés"/>
    <m/>
    <s v="Externe"/>
    <s v="Non"/>
    <s v="Surgelé"/>
    <s v="Racks "/>
    <s v="GT57"/>
    <n v="5183"/>
    <s v="10 m"/>
    <n v="3953"/>
    <n v="0.8"/>
    <m/>
    <n v="25000"/>
    <m/>
    <n v="2005"/>
    <m/>
    <m/>
  </r>
  <r>
    <x v="9"/>
    <s v="Enrepôts Hors Gabarits"/>
    <m/>
    <s v="Interne "/>
    <s v="Non"/>
    <s v="Sec"/>
    <s v="Racks / Masses"/>
    <s v="GT4/GT6"/>
    <n v="28330"/>
    <s v="10 m"/>
    <n v="20500"/>
    <s v="50% à 100 %"/>
    <m/>
    <n v="15000"/>
    <m/>
    <n v="1982"/>
    <m/>
    <m/>
  </r>
  <r>
    <x v="9"/>
    <s v="Entrepôts Vatry"/>
    <m/>
    <s v="Externe"/>
    <s v="Oui "/>
    <s v="Sec"/>
    <s v="Racks / Masses"/>
    <s v="GT2"/>
    <n v="22137"/>
    <s v="10 m"/>
    <n v="11400"/>
    <s v="50% à 100 %"/>
    <n v="750"/>
    <m/>
    <m/>
    <n v="2001"/>
    <m/>
    <m/>
  </r>
  <r>
    <x v="9"/>
    <s v="Entrepôts FL"/>
    <m/>
    <s v="Externe"/>
    <s v="Non"/>
    <s v="Frais"/>
    <s v="Masse"/>
    <s v="GT10"/>
    <n v="8900"/>
    <s v="10 m"/>
    <n v="0"/>
    <n v="0"/>
    <m/>
    <n v="32000"/>
    <n v="1"/>
    <n v="2010"/>
    <m/>
    <m/>
  </r>
  <r>
    <x v="9"/>
    <s v="Entrepôts Opérations"/>
    <m/>
    <s v="Externe"/>
    <s v="Non"/>
    <s v="Sec"/>
    <s v="Masse"/>
    <s v="GT1/2/3"/>
    <n v="5998"/>
    <s v="10 m"/>
    <n v="3000"/>
    <n v="0.75"/>
    <n v="495"/>
    <m/>
    <m/>
    <n v="2010"/>
    <m/>
    <m/>
  </r>
  <r>
    <x v="9"/>
    <s v="Entrepôt Produits Frais"/>
    <m/>
    <s v="Externe"/>
    <s v="Non"/>
    <s v="Frais"/>
    <s v="mécanisé"/>
    <s v="GT5/GT10/GT1"/>
    <n v="10547"/>
    <s v="10 m"/>
    <n v="0"/>
    <n v="0"/>
    <m/>
    <n v="100000"/>
    <n v="1"/>
    <n v="2000"/>
    <m/>
    <m/>
  </r>
  <r>
    <x v="9"/>
    <s v="Ennery PF"/>
    <m/>
    <s v="Externe"/>
    <s v="Oui "/>
    <s v="Frais"/>
    <s v="Masse"/>
    <s v="GT5"/>
    <n v="3800"/>
    <s v="10 m"/>
    <n v="0"/>
    <n v="0"/>
    <m/>
    <n v="50000"/>
    <n v="0.85"/>
    <n v="2012"/>
    <m/>
    <m/>
  </r>
  <r>
    <x v="9"/>
    <s v="Tinqueux PF"/>
    <m/>
    <s v="Externe"/>
    <s v="Oui "/>
    <s v="Frais"/>
    <s v="Masse"/>
    <s v="GT5"/>
    <n v="2531"/>
    <s v="10 m"/>
    <n v="0"/>
    <n v="0"/>
    <m/>
    <n v="25000"/>
    <n v="0.85"/>
    <n v="2021"/>
    <m/>
    <m/>
  </r>
  <r>
    <x v="9"/>
    <s v="Entrepôt Ravel"/>
    <m/>
    <s v="Interne "/>
    <s v="Non"/>
    <s v="Sec"/>
    <s v="Racks / Masses"/>
    <s v="Maint/AP/Salons"/>
    <n v="21000"/>
    <s v="10 m"/>
    <n v="3000"/>
    <n v="0.5"/>
    <m/>
    <n v="0"/>
    <m/>
    <n v="1960"/>
    <m/>
    <m/>
  </r>
  <r>
    <x v="9"/>
    <s v="Entrepôts Recy PGC"/>
    <m/>
    <s v="Interne "/>
    <s v="Non"/>
    <s v="Sec"/>
    <s v="Automatisé"/>
    <s v="GT1/2/3/52"/>
    <n v="43000"/>
    <s v="32 m"/>
    <n v="72400"/>
    <n v="0.8"/>
    <m/>
    <n v="240000"/>
    <m/>
    <n v="2015"/>
    <m/>
    <m/>
  </r>
  <r>
    <x v="10"/>
    <s v="Sec"/>
    <m/>
    <s v="Interne "/>
    <s v="Non"/>
    <s v="Sec"/>
    <s v="Manuel"/>
    <s v="Palettes complètes sec + Picking Bazar"/>
    <n v="11000"/>
    <n v="10"/>
    <m/>
    <n v="0.9"/>
    <n v="1200"/>
    <n v="1100"/>
    <n v="0.83"/>
    <n v="1990"/>
    <n v="0"/>
    <m/>
  </r>
  <r>
    <x v="10"/>
    <s v="Frais"/>
    <m/>
    <s v="Interne "/>
    <s v="Non"/>
    <s v="Frais"/>
    <s v="Manuel"/>
    <s v="Frais"/>
    <n v="10000"/>
    <n v="11"/>
    <m/>
    <n v="0.7"/>
    <n v="1500"/>
    <n v="75000"/>
    <n v="0.8"/>
    <n v="1990"/>
    <n v="0"/>
    <m/>
  </r>
  <r>
    <x v="10"/>
    <s v="F&amp;L"/>
    <m/>
    <s v="Interne "/>
    <s v="Non"/>
    <s v="Frais"/>
    <s v="Manuel"/>
    <s v="F&amp;L"/>
    <n v="4300"/>
    <n v="11"/>
    <m/>
    <n v="1"/>
    <n v="250"/>
    <n v="12000"/>
    <n v="1"/>
    <n v="1990"/>
    <n v="0"/>
    <m/>
  </r>
  <r>
    <x v="10"/>
    <s v="PGC automatisé"/>
    <m/>
    <s v="Interne "/>
    <s v="Non"/>
    <s v="Sec"/>
    <s v="Automatisé"/>
    <s v="PGC"/>
    <n v="27000"/>
    <n v="25"/>
    <m/>
    <n v="0.85"/>
    <n v="2500"/>
    <m/>
    <n v="0.85"/>
    <n v="2023"/>
    <n v="0"/>
    <m/>
  </r>
  <r>
    <x v="10"/>
    <s v="Liquides"/>
    <m/>
    <s v="Interne "/>
    <s v="Oui "/>
    <s v="Sec"/>
    <s v="Manuel"/>
    <s v="Liquides"/>
    <n v="6000"/>
    <m/>
    <m/>
    <n v="0.7"/>
    <n v="450"/>
    <m/>
    <n v="0.78"/>
    <n v="2023"/>
    <n v="0"/>
    <m/>
  </r>
  <r>
    <x v="10"/>
    <s v="Palettes"/>
    <m/>
    <s v="Interne "/>
    <s v="Non"/>
    <s v="Sec"/>
    <s v="Manuel"/>
    <s v="Palettes/Consommables/Balles Mag"/>
    <n v="6000"/>
    <m/>
    <m/>
    <n v="0.7"/>
    <m/>
    <m/>
    <m/>
    <n v="2023"/>
    <n v="0"/>
    <m/>
  </r>
  <r>
    <x v="10"/>
    <s v="Non Al prestation"/>
    <m/>
    <s v="Externe"/>
    <s v="Non"/>
    <s v="Sec"/>
    <s v="Manuel"/>
    <s v="Non Al saisonnier"/>
    <n v="19000"/>
    <m/>
    <m/>
    <m/>
    <m/>
    <m/>
    <m/>
    <n v="2023"/>
    <n v="0"/>
    <m/>
  </r>
  <r>
    <x v="10"/>
    <s v="Surgelés"/>
    <m/>
    <s v="Interne "/>
    <s v="Non"/>
    <s v="Surgelé"/>
    <s v="Manuel"/>
    <s v="Surgelés"/>
    <n v="3000"/>
    <n v="11"/>
    <m/>
    <n v="1"/>
    <n v="200"/>
    <n v="10000"/>
    <n v="1"/>
    <n v="1990"/>
    <n v="0"/>
    <m/>
  </r>
  <r>
    <x v="11"/>
    <s v="Riec sur Belon frais"/>
    <m/>
    <s v="Interne "/>
    <s v="Non"/>
    <s v="Frais"/>
    <s v="Automatisé/Mécanisé/Racks/Masse"/>
    <s v="F&amp;L - FUF"/>
    <n v="12000"/>
    <m/>
    <s v="1248 places 1,20m +424 places 1,80m"/>
    <m/>
    <n v="2200"/>
    <n v="87500"/>
    <n v="0.85"/>
    <n v="2017"/>
    <n v="2015"/>
    <m/>
  </r>
  <r>
    <x v="11"/>
    <s v="Lorient"/>
    <m/>
    <s v="Externe"/>
    <s v="Non"/>
    <s v="Frais"/>
    <m/>
    <s v="Marée humide et sèche"/>
    <m/>
    <m/>
    <m/>
    <m/>
    <m/>
    <m/>
    <m/>
    <m/>
    <s v="1970-1983"/>
    <m/>
  </r>
  <r>
    <x v="11"/>
    <s v="Plaintel"/>
    <m/>
    <s v="Interne "/>
    <s v="Non"/>
    <s v="Sec"/>
    <s v="Rack + Masse"/>
    <s v="Non Al - Epicerie - Liquide"/>
    <n v="30000"/>
    <m/>
    <s v="2620 au sol + 8 208 en stock rack + 2900 racks dynamiques"/>
    <m/>
    <n v="1180"/>
    <n v="80000"/>
    <n v="0.85"/>
    <n v="2015"/>
    <s v="1980-2004"/>
    <m/>
  </r>
  <r>
    <x v="11"/>
    <s v="Landerneau"/>
    <m/>
    <s v="Interne "/>
    <s v="Non"/>
    <s v="Sec"/>
    <s v="Rack   "/>
    <s v="Alcool, Epicerie, Liquide, Vins primeur, bazar"/>
    <n v="12000"/>
    <m/>
    <s v="3 550 au sol  + 8 360 en stock"/>
    <n v="1"/>
    <n v="370"/>
    <n v="20000"/>
    <n v="100"/>
    <s v="1970-1983"/>
    <m/>
    <m/>
  </r>
  <r>
    <x v="11"/>
    <s v="Le Relecq Kerhuon"/>
    <m/>
    <s v="Interne "/>
    <s v="Non"/>
    <s v="Sec"/>
    <s v="Rack   "/>
    <s v="DPH - Liquide"/>
    <n v="16311"/>
    <m/>
    <s v="2 200 places au sol + 4 100 en stock"/>
    <n v="1"/>
    <n v="1100"/>
    <n v="60200"/>
    <n v="100"/>
    <s v="1980-2004"/>
    <m/>
    <m/>
  </r>
  <r>
    <x v="11"/>
    <m/>
    <m/>
    <s v="Interne "/>
    <s v="Non"/>
    <s v="Frais"/>
    <m/>
    <s v="Frais ambiant"/>
    <n v="2914"/>
    <m/>
    <m/>
    <m/>
    <m/>
    <m/>
    <m/>
    <m/>
    <m/>
    <m/>
  </r>
  <r>
    <x v="11"/>
    <s v="Riec sur Belon surgelés"/>
    <m/>
    <s v="Interne "/>
    <s v="Non"/>
    <s v="Surgelé"/>
    <m/>
    <s v="Surgelé"/>
    <n v="4500"/>
    <m/>
    <s v="144 places 1,35 + 288 places 2,4 m"/>
    <m/>
    <n v="170"/>
    <n v="9250"/>
    <m/>
    <m/>
    <n v="2017"/>
    <n v="14500"/>
  </r>
  <r>
    <x v="12"/>
    <s v="Cestas"/>
    <m/>
    <s v="Interne "/>
    <s v="Non"/>
    <s v="Sec"/>
    <s v="Non"/>
    <s v="sec"/>
    <n v="23000"/>
    <n v="12"/>
    <n v="21000"/>
    <m/>
    <m/>
    <m/>
    <m/>
    <n v="1993"/>
    <n v="0"/>
    <m/>
  </r>
  <r>
    <x v="12"/>
    <s v="Cestas détail DH"/>
    <m/>
    <m/>
    <m/>
    <s v="Sec"/>
    <s v="Non"/>
    <m/>
    <n v="5500"/>
    <n v="12"/>
    <s v="?"/>
    <n v="0.9"/>
    <m/>
    <m/>
    <m/>
    <n v="1993"/>
    <n v="0"/>
    <m/>
  </r>
  <r>
    <x v="12"/>
    <s v="Cestas detail bazar"/>
    <m/>
    <m/>
    <m/>
    <s v="Sec"/>
    <s v="Non"/>
    <m/>
    <n v="5500"/>
    <n v="12"/>
    <s v="?"/>
    <n v="0.9"/>
    <m/>
    <m/>
    <m/>
    <n v="1993"/>
    <n v="0"/>
    <m/>
  </r>
  <r>
    <x v="12"/>
    <s v="Cestas détail éclatement dalle"/>
    <m/>
    <m/>
    <m/>
    <s v="N/A"/>
    <s v="Non"/>
    <m/>
    <n v="12000"/>
    <n v="12"/>
    <s v="?"/>
    <m/>
    <m/>
    <m/>
    <m/>
    <n v="1993"/>
    <n v="0"/>
    <m/>
  </r>
  <r>
    <x v="12"/>
    <s v="Beychac PGC"/>
    <m/>
    <m/>
    <m/>
    <s v="Sec"/>
    <s v="Non"/>
    <m/>
    <n v="36000"/>
    <m/>
    <s v="?"/>
    <n v="0.85"/>
    <m/>
    <m/>
    <m/>
    <n v="2017"/>
    <n v="0"/>
    <m/>
  </r>
  <r>
    <x v="12"/>
    <s v="Cestas ancien surgelé stockage de vin"/>
    <m/>
    <m/>
    <m/>
    <s v="Sec"/>
    <s v="Non"/>
    <m/>
    <n v="1500"/>
    <m/>
    <m/>
    <m/>
    <m/>
    <m/>
    <m/>
    <m/>
    <n v="0"/>
    <m/>
  </r>
  <r>
    <x v="12"/>
    <s v="Beychac frais 0-3°"/>
    <m/>
    <m/>
    <m/>
    <s v="Frais"/>
    <s v="Non (trieur ?)"/>
    <m/>
    <n v="9000"/>
    <m/>
    <m/>
    <m/>
    <m/>
    <m/>
    <m/>
    <m/>
    <n v="0"/>
    <m/>
  </r>
  <r>
    <x v="12"/>
    <s v="Beychac f&amp;l"/>
    <m/>
    <m/>
    <m/>
    <s v="Frais"/>
    <s v="Non"/>
    <m/>
    <n v="3000"/>
    <m/>
    <m/>
    <m/>
    <m/>
    <m/>
    <m/>
    <m/>
    <n v="0"/>
    <m/>
  </r>
  <r>
    <x v="12"/>
    <s v="Beychac surgelé"/>
    <m/>
    <m/>
    <m/>
    <s v="Surgelé"/>
    <s v="Non"/>
    <m/>
    <n v="7000"/>
    <m/>
    <s v="?"/>
    <n v="0.5"/>
    <m/>
    <m/>
    <m/>
    <n v="2017"/>
    <n v="0"/>
    <m/>
  </r>
  <r>
    <x v="13"/>
    <s v="SOCA 1"/>
    <m/>
    <s v="Interne"/>
    <s v="Non"/>
    <s v="Sec"/>
    <s v="Racks "/>
    <m/>
    <n v="10000"/>
    <n v="11"/>
    <n v="0"/>
    <m/>
    <n v="250"/>
    <n v="13000"/>
    <n v="2.2999999999999998"/>
    <n v="1976"/>
    <m/>
    <m/>
  </r>
  <r>
    <x v="13"/>
    <s v="SOCA 3"/>
    <m/>
    <s v="Interne"/>
    <s v="Non"/>
    <s v="Sec"/>
    <s v="Racks "/>
    <m/>
    <n v="42000"/>
    <n v="15"/>
    <n v="21000"/>
    <n v="0.85"/>
    <n v="1000"/>
    <n v="70000"/>
    <n v="1.3"/>
    <n v="2007"/>
    <m/>
    <m/>
  </r>
  <r>
    <x v="13"/>
    <s v="SOCA 4"/>
    <m/>
    <s v="Interne"/>
    <s v="Non"/>
    <s v="Sec"/>
    <s v="Automatisé/Mécanisé"/>
    <m/>
    <n v="7300"/>
    <n v="42"/>
    <n v="35000"/>
    <n v="0.85"/>
    <n v="900"/>
    <n v="62500"/>
    <n v="1"/>
    <n v="2017"/>
    <m/>
    <m/>
  </r>
  <r>
    <x v="13"/>
    <s v="SOCA 5"/>
    <m/>
    <s v="Interne"/>
    <s v="Non"/>
    <s v="Frais"/>
    <s v="Racks"/>
    <m/>
    <n v="12000"/>
    <n v="8"/>
    <n v="0"/>
    <m/>
    <n v="2000"/>
    <n v="170000"/>
    <n v="1.25"/>
    <n v="2017"/>
    <m/>
    <m/>
  </r>
  <r>
    <x v="13"/>
    <s v="SOCA 2"/>
    <m/>
    <s v="Interne"/>
    <s v="Non"/>
    <s v="Surgelé"/>
    <s v="Racks "/>
    <m/>
    <n v="36000"/>
    <n v="13"/>
    <n v="9000"/>
    <n v="0.85"/>
    <n v="700"/>
    <n v="30000"/>
    <n v="1.6"/>
    <n v="1991"/>
    <m/>
    <m/>
  </r>
  <r>
    <x v="14"/>
    <s v="Tournefeuille débord"/>
    <m/>
    <s v="Interne"/>
    <s v="Oui"/>
    <s v="Sec"/>
    <s v="Manuel"/>
    <s v="sec"/>
    <n v="20000"/>
    <n v="12"/>
    <n v="10000"/>
    <n v="1"/>
    <n v="264"/>
    <n v="0"/>
    <n v="0"/>
    <n v="1980"/>
    <s v="250K m² "/>
    <m/>
  </r>
  <r>
    <x v="14"/>
    <s v="Tournefeuille frais"/>
    <m/>
    <s v="Interne"/>
    <s v="Non"/>
    <s v="Frais"/>
    <s v="mécanisé"/>
    <s v="F&amp;L + sec (hors frais à 2°)"/>
    <n v="10000"/>
    <n v="12"/>
    <n v="0"/>
    <m/>
    <n v="990"/>
    <n v="0"/>
    <m/>
    <n v="2000"/>
    <m/>
    <m/>
  </r>
  <r>
    <x v="14"/>
    <s v="Castel non al"/>
    <m/>
    <s v="Interne"/>
    <s v="Non"/>
    <s v="Sec"/>
    <s v="Manuel"/>
    <s v="1/2/3/4/6/7/20"/>
    <n v="21000"/>
    <n v="12"/>
    <n v="20000"/>
    <n v="0.8"/>
    <n v="1000"/>
    <n v="40000"/>
    <n v="1"/>
    <n v="2019"/>
    <m/>
    <m/>
  </r>
  <r>
    <x v="14"/>
    <s v="Castel sec"/>
    <m/>
    <s v="Interne"/>
    <s v="Non"/>
    <s v="Sec"/>
    <s v="Witron + manuel (6% du volume)"/>
    <s v="PGC/Bazar permanent/OP GT1,2,3"/>
    <n v="37000"/>
    <n v="32"/>
    <n v="71300"/>
    <n v="0.95"/>
    <n v="10695"/>
    <n v="124513.6186770428"/>
    <n v="0.85"/>
    <n v="2019"/>
    <m/>
    <m/>
  </r>
  <r>
    <x v="14"/>
    <s v="Castel frais"/>
    <m/>
    <s v="Interne"/>
    <s v="Non"/>
    <s v="Frais"/>
    <s v="Witron + manuel (10% du volume)"/>
    <s v="frais hors F&amp;L"/>
    <n v="15500"/>
    <n v="15"/>
    <n v="0"/>
    <m/>
    <n v="0"/>
    <n v="80000"/>
    <n v="0.95"/>
    <n v="2019"/>
    <m/>
    <m/>
  </r>
  <r>
    <x v="14"/>
    <s v="Castel surgelé"/>
    <m/>
    <s v="Interne"/>
    <s v="Non"/>
    <s v="Surgelé"/>
    <s v="Witron"/>
    <s v="surgelé"/>
    <n v="3700"/>
    <n v="22"/>
    <n v="4600"/>
    <n v="0.95"/>
    <n v="250"/>
    <n v="14000"/>
    <n v="0.95"/>
    <n v="2019"/>
    <m/>
    <m/>
  </r>
  <r>
    <x v="15"/>
    <s v="frais"/>
    <m/>
    <s v="Interne"/>
    <s v="Non"/>
    <s v="Frais"/>
    <s v="Manuel"/>
    <s v="5 51 52"/>
    <n v="12000"/>
    <n v="6.5"/>
    <s v="N/A"/>
    <m/>
    <m/>
    <m/>
    <m/>
    <n v="2016"/>
    <m/>
    <m/>
  </r>
  <r>
    <x v="15"/>
    <s v="saisonnier"/>
    <m/>
    <s v="Interne"/>
    <s v="Non"/>
    <s v="Sec"/>
    <s v="Manuel"/>
    <s v="4 6 7 31"/>
    <n v="30000"/>
    <n v="12.5"/>
    <n v="14600"/>
    <n v="1"/>
    <m/>
    <m/>
    <m/>
    <n v="2016"/>
    <m/>
    <m/>
  </r>
  <r>
    <x v="15"/>
    <s v="FEL"/>
    <m/>
    <s v="Interne"/>
    <s v="Non"/>
    <s v="Frais"/>
    <s v="Manuel"/>
    <m/>
    <n v="3000"/>
    <n v="6.5"/>
    <s v="N/A"/>
    <m/>
    <m/>
    <m/>
    <m/>
    <n v="2016"/>
    <m/>
    <m/>
  </r>
  <r>
    <x v="15"/>
    <s v="PGC"/>
    <m/>
    <s v="Interne"/>
    <s v="Non"/>
    <s v="Sec"/>
    <s v="Automatisé"/>
    <s v="GT 1 2 3 31 5Lait UHT"/>
    <n v="39000"/>
    <n v="28"/>
    <n v="53000"/>
    <n v="0.8"/>
    <n v="3200"/>
    <n v="155000"/>
    <n v="106"/>
    <n v="2016"/>
    <m/>
    <m/>
  </r>
  <r>
    <x v="15"/>
    <s v="surgeles"/>
    <m/>
    <s v="Interne"/>
    <s v="Non"/>
    <s v="Surgelé"/>
    <s v="Manuel"/>
    <n v="9"/>
    <n v="6000"/>
    <n v="10.5"/>
    <n v="1000"/>
    <m/>
    <m/>
    <m/>
    <m/>
    <n v="201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7" cacheId="1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B20" firstHeaderRow="1" firstDataRow="1" firstDataCol="1"/>
  <pivotFields count="18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me de Surface (m²)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2" displayName="Tableau2" ref="A1:R132" totalsRowShown="0" headerRowDxfId="18">
  <autoFilter ref="A1:R132" xr:uid="{00000000-0009-0000-0100-000001000000}"/>
  <sortState xmlns:xlrd2="http://schemas.microsoft.com/office/spreadsheetml/2017/richdata2" ref="A2:R132">
    <sortCondition ref="A1:A132"/>
  </sortState>
  <tableColumns count="18">
    <tableColumn id="1" xr3:uid="{00000000-0010-0000-0000-000001000000}" name="SCA" dataDxfId="17"/>
    <tableColumn id="2" xr3:uid="{00000000-0010-0000-0000-000002000000}" name="Entrepot" dataDxfId="16"/>
    <tableColumn id="3" xr3:uid="{00000000-0010-0000-0000-000003000000}" name="Numéro d'entrepôt" dataDxfId="15"/>
    <tableColumn id="4" xr3:uid="{00000000-0010-0000-0000-000004000000}" name="Interne/ externe" dataDxfId="14"/>
    <tableColumn id="5" xr3:uid="{00000000-0010-0000-0000-000005000000}" name="Debord" dataDxfId="13"/>
    <tableColumn id="6" xr3:uid="{00000000-0010-0000-0000-000006000000}" name="Température" dataDxfId="12"/>
    <tableColumn id="7" xr3:uid="{00000000-0010-0000-0000-000007000000}" name="Automatisé ?" dataDxfId="11"/>
    <tableColumn id="8" xr3:uid="{00000000-0010-0000-0000-000008000000}" name="GT prise en charge" dataDxfId="10"/>
    <tableColumn id="9" xr3:uid="{00000000-0010-0000-0000-000009000000}" name="Surface (m²)" dataDxfId="9"/>
    <tableColumn id="10" xr3:uid="{00000000-0010-0000-0000-00000A000000}" name="Hauteur (m)" dataDxfId="8"/>
    <tableColumn id="11" xr3:uid="{00000000-0010-0000-0000-00000B000000}" name="Capacité de stockage (palette)" dataDxfId="7"/>
    <tableColumn id="12" xr3:uid="{00000000-0010-0000-0000-00000C000000}" name="Taux de saturation stock" dataDxfId="6"/>
    <tableColumn id="13" xr3:uid="{00000000-0010-0000-0000-00000D000000}" name="Capacité de flux (palette/j)" dataDxfId="5"/>
    <tableColumn id="14" xr3:uid="{00000000-0010-0000-0000-00000E000000}" name="Capacité de flux (colis/j)" dataDxfId="4"/>
    <tableColumn id="15" xr3:uid="{00000000-0010-0000-0000-00000F000000}" name="Taux de saturation Flux" dataDxfId="3"/>
    <tableColumn id="16" xr3:uid="{00000000-0010-0000-0000-000010000000}" name="Date de construction" dataDxfId="2"/>
    <tableColumn id="17" xr3:uid="{00000000-0010-0000-0000-000011000000}" name="Foncier Supplémentaire" dataDxfId="1"/>
    <tableColumn id="18" xr3:uid="{00000000-0010-0000-0000-000012000000}" name="Colis total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tabSelected="1" zoomScale="85" zoomScaleNormal="85" workbookViewId="0">
      <pane xSplit="1" ySplit="1" topLeftCell="C3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baseColWidth="10" defaultRowHeight="14.5" x14ac:dyDescent="0.35"/>
  <cols>
    <col min="1" max="1" width="23.54296875" style="38" customWidth="1"/>
    <col min="2" max="2" width="68.90625" style="36" customWidth="1"/>
    <col min="3" max="4" width="40.6328125" style="36" customWidth="1"/>
    <col min="5" max="5" width="49.26953125" bestFit="1" customWidth="1"/>
    <col min="6" max="6" width="13.453125" bestFit="1" customWidth="1"/>
    <col min="7" max="7" width="52" bestFit="1" customWidth="1"/>
  </cols>
  <sheetData>
    <row r="1" spans="1:7" ht="18.5" x14ac:dyDescent="0.45">
      <c r="A1" s="44" t="s">
        <v>791</v>
      </c>
      <c r="B1" s="44" t="s">
        <v>1123</v>
      </c>
      <c r="C1" s="44" t="s">
        <v>1124</v>
      </c>
      <c r="D1" s="44" t="s">
        <v>1140</v>
      </c>
      <c r="E1" s="44" t="s">
        <v>1123</v>
      </c>
      <c r="F1" s="44" t="s">
        <v>1149</v>
      </c>
      <c r="G1" s="44" t="s">
        <v>1150</v>
      </c>
    </row>
    <row r="2" spans="1:7" ht="37.5" x14ac:dyDescent="0.35">
      <c r="A2" s="37" t="s">
        <v>1092</v>
      </c>
      <c r="B2" s="39" t="s">
        <v>1138</v>
      </c>
      <c r="C2" s="40">
        <v>86300</v>
      </c>
      <c r="D2" s="48" t="str">
        <f>A2</f>
        <v>Scapnor</v>
      </c>
      <c r="E2" t="str">
        <f>TRIM(LEFT(B2,FIND(CHAR(10),B2,FIND(CHAR(10),B2)+1)-1))</f>
        <v>SCAPNOR 
ZAE Chemin du bac des Aubins - BP 10</v>
      </c>
      <c r="F2" t="str" cm="1">
        <f t="array" aca="1" ref="F2" ca="1">TRIM(MID(B2,MIN(IF(ISNUMBER(MID(B2,ROW(INDIRECT("1:"&amp;LEN(B2))),5)*1),ROW(INDIRECT("1:"&amp;LEN(B2))))),5))</f>
        <v>95820</v>
      </c>
      <c r="G2" t="str" cm="1">
        <f t="array" aca="1" ref="G2" ca="1">TRIM(RIGHT(B2,LEN(B2)-MIN(IF(ISNUMBER(MID(B2,ROW(INDIRECT("1:"&amp;LEN(B2))),5)*1),ROW(INDIRECT("1:"&amp;LEN(B2)))))-5))</f>
        <v>BRUYERES SUR OISE</v>
      </c>
    </row>
    <row r="3" spans="1:7" ht="37.5" x14ac:dyDescent="0.35">
      <c r="A3" s="37" t="s">
        <v>1093</v>
      </c>
      <c r="B3" s="39" t="s">
        <v>1137</v>
      </c>
      <c r="C3" s="40">
        <v>81800</v>
      </c>
      <c r="D3" s="48" t="str">
        <f t="shared" ref="D3:D32" si="0">A3</f>
        <v>Scadif</v>
      </c>
      <c r="E3" t="str">
        <f t="shared" ref="E3:E32" si="1">TRIM(LEFT(B3,FIND(CHAR(10),B3,FIND(CHAR(10),B3)+1)-1))</f>
        <v>SCADIF 
Parc d'activité de l'A5 2103 rue Denis PAPIN</v>
      </c>
      <c r="F3">
        <v>77750</v>
      </c>
      <c r="G3" t="s">
        <v>1161</v>
      </c>
    </row>
    <row r="4" spans="1:7" ht="37.5" x14ac:dyDescent="0.35">
      <c r="A4" s="37" t="s">
        <v>1094</v>
      </c>
      <c r="B4" s="39" t="s">
        <v>1139</v>
      </c>
      <c r="C4" s="40">
        <v>151400</v>
      </c>
      <c r="D4" s="48" t="str">
        <f t="shared" si="0"/>
        <v>Scapest</v>
      </c>
      <c r="E4" t="str">
        <f t="shared" si="1"/>
        <v>SCAPEST 
ZI Du Moulin -Saint Martin sur le Pré</v>
      </c>
      <c r="F4" t="str" cm="1">
        <f t="array" aca="1" ref="F4" ca="1">TRIM(MID(B4,MIN(IF(ISNUMBER(MID(B4,ROW(INDIRECT("1:"&amp;LEN(B4))),5)*1),ROW(INDIRECT("1:"&amp;LEN(B4))))),5))</f>
        <v>51039</v>
      </c>
      <c r="G4" t="str" cm="1">
        <f t="array" aca="1" ref="G4" ca="1">TRIM(RIGHT(B4,LEN(B4)-MIN(IF(ISNUMBER(MID(B4,ROW(INDIRECT("1:"&amp;LEN(B4))),5)*1),ROW(INDIRECT("1:"&amp;LEN(B4)))))-5))</f>
        <v>CHALONS EN CHAMPAGNE</v>
      </c>
    </row>
    <row r="5" spans="1:7" ht="37.5" x14ac:dyDescent="0.35">
      <c r="A5" s="37" t="s">
        <v>1095</v>
      </c>
      <c r="B5" s="39" t="s">
        <v>1151</v>
      </c>
      <c r="C5" s="40">
        <v>127200</v>
      </c>
      <c r="D5" s="48" t="str">
        <f t="shared" si="0"/>
        <v>Scaouest</v>
      </c>
      <c r="E5" t="str">
        <f t="shared" si="1"/>
        <v>SCAOUEST 
Route de Cordemais</v>
      </c>
      <c r="F5" t="str" cm="1">
        <f t="array" aca="1" ref="F5" ca="1">TRIM(MID(B5,MIN(IF(ISNUMBER(MID(B5,ROW(INDIRECT("1:"&amp;LEN(B5))),5)*1),ROW(INDIRECT("1:"&amp;LEN(B5))))),5))</f>
        <v>44360</v>
      </c>
      <c r="G5" t="str" cm="1">
        <f t="array" aca="1" ref="G5" ca="1">TRIM(RIGHT(B5,LEN(B5)-MIN(IF(ISNUMBER(MID(B5,ROW(INDIRECT("1:"&amp;LEN(B5))),5)*1),ROW(INDIRECT("1:"&amp;LEN(B5)))))-5))</f>
        <v>SAINT ETIENNE DE MONTLUC</v>
      </c>
    </row>
    <row r="6" spans="1:7" ht="50" x14ac:dyDescent="0.35">
      <c r="A6" s="49" t="s">
        <v>1096</v>
      </c>
      <c r="B6" s="39" t="s">
        <v>1132</v>
      </c>
      <c r="C6" s="51">
        <v>77700</v>
      </c>
      <c r="D6" s="48" t="s">
        <v>1141</v>
      </c>
      <c r="E6" t="str">
        <f t="shared" si="1"/>
        <v>Sec et Liquide: 
SCARMOR</v>
      </c>
      <c r="F6" t="str" cm="1">
        <f t="array" aca="1" ref="F6" ca="1">TRIM(MID(B6,MIN(IF(ISNUMBER(MID(B6,ROW(INDIRECT("1:"&amp;LEN(B6))),5)*1),ROW(INDIRECT("1:"&amp;LEN(B6))))),5))</f>
        <v>29419</v>
      </c>
      <c r="G6" t="str" cm="1">
        <f t="array" aca="1" ref="G6" ca="1">TRIM(RIGHT(B6,LEN(B6)-MIN(IF(ISNUMBER(MID(B6,ROW(INDIRECT("1:"&amp;LEN(B6))),5)*1),ROW(INDIRECT("1:"&amp;LEN(B6)))))-5))</f>
        <v>LANDERNEAU Cedex</v>
      </c>
    </row>
    <row r="7" spans="1:7" ht="25" x14ac:dyDescent="0.35">
      <c r="A7" s="53"/>
      <c r="B7" s="39" t="s">
        <v>1131</v>
      </c>
      <c r="C7" s="54"/>
      <c r="D7" s="48" t="s">
        <v>1142</v>
      </c>
      <c r="E7" t="s">
        <v>1152</v>
      </c>
      <c r="F7" t="str" cm="1">
        <f t="array" aca="1" ref="F7" ca="1">TRIM(MID(B7,MIN(IF(ISNUMBER(MID(B7,ROW(INDIRECT("1:"&amp;LEN(B7))),5)*1),ROW(INDIRECT("1:"&amp;LEN(B7))))),5))</f>
        <v>44360</v>
      </c>
      <c r="G7" t="s">
        <v>144</v>
      </c>
    </row>
    <row r="8" spans="1:7" ht="21" x14ac:dyDescent="0.35">
      <c r="A8" s="50"/>
      <c r="B8" s="39" t="s">
        <v>1133</v>
      </c>
      <c r="C8" s="52"/>
      <c r="D8" s="48" t="s">
        <v>1143</v>
      </c>
      <c r="E8" t="s">
        <v>1153</v>
      </c>
      <c r="F8">
        <v>22940</v>
      </c>
      <c r="G8" t="str" cm="1">
        <f t="array" aca="1" ref="G8" ca="1">TRIM(RIGHT(B8,LEN(B8)-MIN(IF(ISNUMBER(MID(B8,ROW(INDIRECT("1:"&amp;LEN(B8))),5)*1),ROW(INDIRECT("1:"&amp;LEN(B8)))))-5))</f>
        <v>Plaintel </v>
      </c>
    </row>
    <row r="9" spans="1:7" ht="37.5" x14ac:dyDescent="0.35">
      <c r="A9" s="37" t="s">
        <v>1097</v>
      </c>
      <c r="B9" s="39" t="s">
        <v>1098</v>
      </c>
      <c r="C9" s="40">
        <v>107300</v>
      </c>
      <c r="D9" s="48" t="str">
        <f t="shared" si="0"/>
        <v>Socamaine</v>
      </c>
      <c r="E9" t="str">
        <f t="shared" si="1"/>
        <v>SOCAMAINE
Route de Paris</v>
      </c>
      <c r="F9" t="str" cm="1">
        <f t="array" aca="1" ref="F9" ca="1">TRIM(MID(B9,MIN(IF(ISNUMBER(MID(B9,ROW(INDIRECT("1:"&amp;LEN(B9))),5)*1),ROW(INDIRECT("1:"&amp;LEN(B9))))),5))</f>
        <v>72470</v>
      </c>
      <c r="G9" t="str" cm="1">
        <f t="array" aca="1" ref="G9" ca="1">TRIM(RIGHT(B9,LEN(B9)-MIN(IF(ISNUMBER(MID(B9,ROW(INDIRECT("1:"&amp;LEN(B9))),5)*1),ROW(INDIRECT("1:"&amp;LEN(B9)))))-5))</f>
        <v>CHAMPAGNE</v>
      </c>
    </row>
    <row r="10" spans="1:7" ht="37.5" x14ac:dyDescent="0.35">
      <c r="A10" s="37" t="s">
        <v>1099</v>
      </c>
      <c r="B10" s="39" t="s">
        <v>1100</v>
      </c>
      <c r="C10" s="40">
        <v>115000</v>
      </c>
      <c r="D10" s="48" t="str">
        <f>B20</f>
        <v>SCACENTRE
10 Rue Colbert
03400 YZEURE</v>
      </c>
      <c r="E10" t="str">
        <f t="shared" si="1"/>
        <v>SCACHAP
ZI de la Gare - BP 108</v>
      </c>
      <c r="F10" t="str" cm="1">
        <f t="array" aca="1" ref="F10" ca="1">TRIM(MID(B10,MIN(IF(ISNUMBER(MID(B10,ROW(INDIRECT("1:"&amp;LEN(B10))),5)*1),ROW(INDIRECT("1:"&amp;LEN(B10))))),5))</f>
        <v>16700</v>
      </c>
      <c r="G10" t="str" cm="1">
        <f t="array" aca="1" ref="G10" ca="1">TRIM(RIGHT(B10,LEN(B10)-MIN(IF(ISNUMBER(MID(B10,ROW(INDIRECT("1:"&amp;LEN(B10))),5)*1),ROW(INDIRECT("1:"&amp;LEN(B10)))))-5))</f>
        <v>RUFFEC</v>
      </c>
    </row>
    <row r="11" spans="1:7" ht="37.5" x14ac:dyDescent="0.35">
      <c r="A11" s="49" t="s">
        <v>1101</v>
      </c>
      <c r="B11" s="39" t="s">
        <v>1134</v>
      </c>
      <c r="C11" s="51">
        <v>102500</v>
      </c>
      <c r="D11" s="48" t="s">
        <v>1144</v>
      </c>
      <c r="E11" t="str">
        <f t="shared" si="1"/>
        <v>SCASO 1 (PGC Frias Surg) 
Zone artisanale du Grand Cazau </v>
      </c>
      <c r="F11" t="str" cm="1">
        <f t="array" aca="1" ref="F11" ca="1">TRIM(MID(B11,MIN(IF(ISNUMBER(MID(B11,ROW(INDIRECT("1:"&amp;LEN(B11))),5)*1),ROW(INDIRECT("1:"&amp;LEN(B11))))),5))</f>
        <v>33750</v>
      </c>
      <c r="G11" t="str" cm="1">
        <f t="array" aca="1" ref="G11" ca="1">TRIM(RIGHT(B11,LEN(B11)-MIN(IF(ISNUMBER(MID(B11,ROW(INDIRECT("1:"&amp;LEN(B11))),5)*1),ROW(INDIRECT("1:"&amp;LEN(B11)))))-5))</f>
        <v>BEYCHAC ET CAILLEAU </v>
      </c>
    </row>
    <row r="12" spans="1:7" ht="50" x14ac:dyDescent="0.35">
      <c r="A12" s="50"/>
      <c r="B12" s="39" t="s">
        <v>1102</v>
      </c>
      <c r="C12" s="52"/>
      <c r="D12" s="48" t="s">
        <v>1145</v>
      </c>
      <c r="E12" t="str">
        <f t="shared" si="1"/>
        <v>SCASO
ZI de Toctoucau</v>
      </c>
      <c r="F12" t="str" cm="1">
        <f t="array" aca="1" ref="F12" ca="1">TRIM(MID(B12,MIN(IF(ISNUMBER(MID(B12,ROW(INDIRECT("1:"&amp;LEN(B12))),5)*1),ROW(INDIRECT("1:"&amp;LEN(B12))))),5))</f>
        <v>33612</v>
      </c>
      <c r="G12" t="str" cm="1">
        <f t="array" aca="1" ref="G12" ca="1">TRIM(RIGHT(B12,LEN(B12)-MIN(IF(ISNUMBER(MID(B12,ROW(INDIRECT("1:"&amp;LEN(B12))),5)*1),ROW(INDIRECT("1:"&amp;LEN(B12)))))-5))</f>
        <v>CESTAS Cedex</v>
      </c>
    </row>
    <row r="13" spans="1:7" ht="37.5" x14ac:dyDescent="0.35">
      <c r="A13" s="37" t="s">
        <v>1103</v>
      </c>
      <c r="B13" s="39" t="s">
        <v>1125</v>
      </c>
      <c r="C13" s="40">
        <v>108800</v>
      </c>
      <c r="D13" s="48" t="str">
        <f>B23</f>
        <v>SCAPARF
Rue de Gournay, R.D. 82
60490 Ressons-sur-Matz</v>
      </c>
      <c r="E13" t="str">
        <f t="shared" si="1"/>
        <v>SOCAMIL
511 Av. Gérard Rouvière</v>
      </c>
      <c r="F13" t="str" cm="1">
        <f t="array" aca="1" ref="F13" ca="1">TRIM(MID(B13,MIN(IF(ISNUMBER(MID(B13,ROW(INDIRECT("1:"&amp;LEN(B13))),5)*1),ROW(INDIRECT("1:"&amp;LEN(B13))))),5))</f>
        <v>11400</v>
      </c>
      <c r="G13" t="str" cm="1">
        <f t="array" aca="1" ref="G13" ca="1">TRIM(RIGHT(B13,LEN(B13)-MIN(IF(ISNUMBER(MID(B13,ROW(INDIRECT("1:"&amp;LEN(B13))),5)*1),ROW(INDIRECT("1:"&amp;LEN(B13)))))-5))</f>
        <v>Castelnaudary</v>
      </c>
    </row>
    <row r="14" spans="1:7" ht="37.5" x14ac:dyDescent="0.35">
      <c r="A14" s="49" t="s">
        <v>1104</v>
      </c>
      <c r="B14" s="39" t="s">
        <v>1105</v>
      </c>
      <c r="C14" s="51">
        <v>148300</v>
      </c>
      <c r="D14" s="48" t="str">
        <f>B24</f>
        <v>BTLec Est
2 rue des Moissons
ZA Witry Caurel
51420 Witry les Reims</v>
      </c>
      <c r="E14" t="str">
        <f t="shared" si="1"/>
        <v>LECASUD
ZI des Lauves</v>
      </c>
      <c r="F14" t="str" cm="1">
        <f t="array" aca="1" ref="F14" ca="1">TRIM(MID(B14,MIN(IF(ISNUMBER(MID(B14,ROW(INDIRECT("1:"&amp;LEN(B14))),5)*1),ROW(INDIRECT("1:"&amp;LEN(B14))))),5))</f>
        <v>83340</v>
      </c>
      <c r="G14" t="str" cm="1">
        <f t="array" aca="1" ref="G14" ca="1">TRIM(RIGHT(B14,LEN(B14)-MIN(IF(ISNUMBER(MID(B14,ROW(INDIRECT("1:"&amp;LEN(B14))),5)*1),ROW(INDIRECT("1:"&amp;LEN(B14)))))-5))</f>
        <v>LE LUC</v>
      </c>
    </row>
    <row r="15" spans="1:7" ht="37.5" x14ac:dyDescent="0.35">
      <c r="A15" s="50"/>
      <c r="B15" s="39" t="s">
        <v>1135</v>
      </c>
      <c r="C15" s="52"/>
      <c r="D15" s="48" t="s">
        <v>1146</v>
      </c>
      <c r="E15" t="s">
        <v>1154</v>
      </c>
      <c r="F15">
        <v>84300</v>
      </c>
      <c r="G15" t="s">
        <v>20</v>
      </c>
    </row>
    <row r="16" spans="1:7" ht="37.5" x14ac:dyDescent="0.35">
      <c r="A16" s="37" t="s">
        <v>1106</v>
      </c>
      <c r="B16" s="39" t="s">
        <v>1107</v>
      </c>
      <c r="C16" s="40">
        <v>93784</v>
      </c>
      <c r="D16" s="48" t="str">
        <f>B26</f>
        <v>BBJ Nord
ZI Nord, BP 61043
106 rue Paul Cornu
14100 Lisieux
et entrepôt à Troye chez TCP</v>
      </c>
      <c r="E16" t="str">
        <f t="shared" si="1"/>
        <v>SOCARA
6 rue du Marais</v>
      </c>
      <c r="F16" t="str" cm="1">
        <f t="array" aca="1" ref="F16" ca="1">TRIM(MID(B16,MIN(IF(ISNUMBER(MID(B16,ROW(INDIRECT("1:"&amp;LEN(B16))),5)*1),ROW(INDIRECT("1:"&amp;LEN(B16))))),5))</f>
        <v>38280</v>
      </c>
      <c r="G16" t="str" cm="1">
        <f t="array" aca="1" ref="G16" ca="1">TRIM(RIGHT(B16,LEN(B16)-MIN(IF(ISNUMBER(MID(B16,ROW(INDIRECT("1:"&amp;LEN(B16))),5)*1),ROW(INDIRECT("1:"&amp;LEN(B16)))))-5))</f>
        <v>VILLETTE D'ANTHON</v>
      </c>
    </row>
    <row r="17" spans="1:7" ht="50" x14ac:dyDescent="0.35">
      <c r="A17" s="49" t="s">
        <v>1108</v>
      </c>
      <c r="B17" s="39" t="s">
        <v>1109</v>
      </c>
      <c r="C17" s="51">
        <v>119200</v>
      </c>
      <c r="D17" s="48" t="str">
        <f>B27</f>
        <v>BBJSO
6 Chemin d'Auguste
33610 CESTAS</v>
      </c>
      <c r="E17" t="str">
        <f t="shared" si="1"/>
        <v>SCANORMANDE
ZI Nord</v>
      </c>
      <c r="F17">
        <v>14100</v>
      </c>
      <c r="G17" t="s">
        <v>45</v>
      </c>
    </row>
    <row r="18" spans="1:7" ht="25" x14ac:dyDescent="0.35">
      <c r="A18" s="50"/>
      <c r="B18" s="39" t="s">
        <v>1136</v>
      </c>
      <c r="C18" s="52"/>
      <c r="D18" s="48" t="s">
        <v>1147</v>
      </c>
      <c r="E18" t="s">
        <v>1155</v>
      </c>
      <c r="F18">
        <v>14101</v>
      </c>
      <c r="G18" t="s">
        <v>1156</v>
      </c>
    </row>
    <row r="19" spans="1:7" ht="50" x14ac:dyDescent="0.35">
      <c r="A19" s="37" t="s">
        <v>1110</v>
      </c>
      <c r="B19" s="39" t="s">
        <v>1111</v>
      </c>
      <c r="C19" s="40">
        <v>132400</v>
      </c>
      <c r="D19" s="48" t="str">
        <f>B29</f>
        <v>SCAPAUTO
ZI Nord, BP 61043
106 rue Paul Cornu
14100 Lisieux
et entrepôt à Troye chez TCP</v>
      </c>
      <c r="E19" t="str">
        <f t="shared" si="1"/>
        <v>SCAPALSACE
ZI Nord</v>
      </c>
      <c r="F19" t="str" cm="1">
        <f t="array" aca="1" ref="F19" ca="1">TRIM(MID(B19,MIN(IF(ISNUMBER(MID(B19,ROW(INDIRECT("1:"&amp;LEN(B19))),5)*1),ROW(INDIRECT("1:"&amp;LEN(B19))))),5))</f>
        <v>68025</v>
      </c>
      <c r="G19" t="str" cm="1">
        <f t="array" aca="1" ref="G19" ca="1">TRIM(RIGHT(B19,LEN(B19)-MIN(IF(ISNUMBER(MID(B19,ROW(INDIRECT("1:"&amp;LEN(B19))),5)*1),ROW(INDIRECT("1:"&amp;LEN(B19)))))-5))</f>
        <v>COLMAR Cedex</v>
      </c>
    </row>
    <row r="20" spans="1:7" ht="37.5" x14ac:dyDescent="0.35">
      <c r="A20" s="37" t="s">
        <v>1112</v>
      </c>
      <c r="B20" s="39" t="s">
        <v>1113</v>
      </c>
      <c r="C20" s="40">
        <v>60457</v>
      </c>
      <c r="D20" s="48" t="str">
        <f t="shared" si="0"/>
        <v>Scacentre</v>
      </c>
      <c r="E20" t="str">
        <f t="shared" si="1"/>
        <v>SCACENTRE
10 Rue Colbert</v>
      </c>
      <c r="F20" t="str" cm="1">
        <f t="array" aca="1" ref="F20" ca="1">TRIM(MID(B20,MIN(IF(ISNUMBER(MID(B20,ROW(INDIRECT("1:"&amp;LEN(B20))),5)*1),ROW(INDIRECT("1:"&amp;LEN(B20))))),5))</f>
        <v>03400</v>
      </c>
      <c r="G20" t="str" cm="1">
        <f t="array" aca="1" ref="G20" ca="1">TRIM(RIGHT(B20,LEN(B20)-MIN(IF(ISNUMBER(MID(B20,ROW(INDIRECT("1:"&amp;LEN(B20))),5)*1),ROW(INDIRECT("1:"&amp;LEN(B20)))))-5))</f>
        <v>YZEURE</v>
      </c>
    </row>
    <row r="21" spans="1:7" ht="50" x14ac:dyDescent="0.35">
      <c r="A21" s="37" t="s">
        <v>1114</v>
      </c>
      <c r="B21" s="39" t="s">
        <v>1115</v>
      </c>
      <c r="C21" s="40">
        <v>96191</v>
      </c>
      <c r="D21" s="48" t="str">
        <f t="shared" si="0"/>
        <v>Scalandes</v>
      </c>
      <c r="E21" t="str">
        <f t="shared" si="1"/>
        <v>SCALANDES
ZA de Pémégnan</v>
      </c>
      <c r="F21" t="str" cm="1">
        <f t="array" aca="1" ref="F21" ca="1">TRIM(MID(B21,MIN(IF(ISNUMBER(MID(B21,ROW(INDIRECT("1:"&amp;LEN(B21))),5)*1),ROW(INDIRECT("1:"&amp;LEN(B21))))),5))</f>
        <v>40001</v>
      </c>
      <c r="G21" t="str" cm="1">
        <f t="array" aca="1" ref="G21" ca="1">TRIM(RIGHT(B21,LEN(B21)-MIN(IF(ISNUMBER(MID(B21,ROW(INDIRECT("1:"&amp;LEN(B21))),5)*1),ROW(INDIRECT("1:"&amp;LEN(B21)))))-5))</f>
        <v>MONT DE MARSAN</v>
      </c>
    </row>
    <row r="22" spans="1:7" ht="50" x14ac:dyDescent="0.35">
      <c r="A22" s="37" t="s">
        <v>1116</v>
      </c>
      <c r="B22" s="39" t="s">
        <v>1117</v>
      </c>
      <c r="C22" s="40">
        <v>135600</v>
      </c>
      <c r="D22" s="48" t="str">
        <f t="shared" si="0"/>
        <v>Scapartois</v>
      </c>
      <c r="E22" t="str">
        <f t="shared" si="1"/>
        <v>SCAPARTOIS
ZI Arras Est</v>
      </c>
      <c r="F22" t="str" cm="1">
        <f t="array" aca="1" ref="F22" ca="1">TRIM(MID(B22,MIN(IF(ISNUMBER(MID(B22,ROW(INDIRECT("1:"&amp;LEN(B22))),5)*1),ROW(INDIRECT("1:"&amp;LEN(B22))))),5))</f>
        <v>62217</v>
      </c>
      <c r="G22" t="str" cm="1">
        <f t="array" aca="1" ref="G22" ca="1">TRIM(RIGHT(B22,LEN(B22)-MIN(IF(ISNUMBER(MID(B22,ROW(INDIRECT("1:"&amp;LEN(B22))),5)*1),ROW(INDIRECT("1:"&amp;LEN(B22)))))-5))</f>
        <v>TILLOY LES MOFLAINES</v>
      </c>
    </row>
    <row r="23" spans="1:7" ht="37.5" x14ac:dyDescent="0.35">
      <c r="A23" s="37" t="s">
        <v>1118</v>
      </c>
      <c r="B23" s="39" t="s">
        <v>1083</v>
      </c>
      <c r="C23" s="40">
        <v>24000</v>
      </c>
      <c r="D23" s="48" t="str">
        <f t="shared" si="0"/>
        <v>Scaparf</v>
      </c>
      <c r="E23" t="str">
        <f t="shared" si="1"/>
        <v>SCAPARF
Rue de Gournay, R.D. 82</v>
      </c>
      <c r="F23" t="str" cm="1">
        <f t="array" aca="1" ref="F23" ca="1">TRIM(MID(B23,MIN(IF(ISNUMBER(MID(B23,ROW(INDIRECT("1:"&amp;LEN(B23))),5)*1),ROW(INDIRECT("1:"&amp;LEN(B23))))),5))</f>
        <v>60490</v>
      </c>
      <c r="G23" t="str" cm="1">
        <f t="array" aca="1" ref="G23" ca="1">TRIM(RIGHT(B23,LEN(B23)-MIN(IF(ISNUMBER(MID(B23,ROW(INDIRECT("1:"&amp;LEN(B23))),5)*1),ROW(INDIRECT("1:"&amp;LEN(B23)))))-5))</f>
        <v>Ressons-sur-Matz</v>
      </c>
    </row>
    <row r="24" spans="1:7" ht="50" x14ac:dyDescent="0.35">
      <c r="A24" s="37" t="s">
        <v>1119</v>
      </c>
      <c r="B24" s="39" t="s">
        <v>1084</v>
      </c>
      <c r="C24" s="40">
        <v>55000</v>
      </c>
      <c r="D24" s="48" t="str">
        <f t="shared" si="0"/>
        <v>BTLec Est</v>
      </c>
      <c r="E24" t="str">
        <f t="shared" si="1"/>
        <v>BTLec Est
2 rue des Moissons</v>
      </c>
      <c r="F24" t="str" cm="1">
        <f t="array" aca="1" ref="F24" ca="1">TRIM(MID(B24,MIN(IF(ISNUMBER(MID(B24,ROW(INDIRECT("1:"&amp;LEN(B24))),5)*1),ROW(INDIRECT("1:"&amp;LEN(B24))))),5))</f>
        <v>51420</v>
      </c>
      <c r="G24" t="str" cm="1">
        <f t="array" aca="1" ref="G24" ca="1">TRIM(RIGHT(B24,LEN(B24)-MIN(IF(ISNUMBER(MID(B24,ROW(INDIRECT("1:"&amp;LEN(B24))),5)*1),ROW(INDIRECT("1:"&amp;LEN(B24)))))-5))</f>
        <v>Witry les Reims</v>
      </c>
    </row>
    <row r="25" spans="1:7" ht="37.5" x14ac:dyDescent="0.35">
      <c r="A25" s="37" t="s">
        <v>1120</v>
      </c>
      <c r="B25" s="39" t="s">
        <v>1085</v>
      </c>
      <c r="C25" s="40">
        <v>22000</v>
      </c>
      <c r="D25" s="48" t="str">
        <f t="shared" si="0"/>
        <v>BTLec Ouest</v>
      </c>
      <c r="E25" t="str">
        <f t="shared" si="1"/>
        <v>BTLEC OUEST
Route de Cordemais</v>
      </c>
      <c r="F25" t="str" cm="1">
        <f t="array" aca="1" ref="F25" ca="1">TRIM(MID(B25,MIN(IF(ISNUMBER(MID(B25,ROW(INDIRECT("1:"&amp;LEN(B25))),5)*1),ROW(INDIRECT("1:"&amp;LEN(B25))))),5))</f>
        <v>44360</v>
      </c>
      <c r="G25" t="str" cm="1">
        <f t="array" aca="1" ref="G25" ca="1">TRIM(RIGHT(B25,LEN(B25)-MIN(IF(ISNUMBER(MID(B25,ROW(INDIRECT("1:"&amp;LEN(B25))),5)*1),ROW(INDIRECT("1:"&amp;LEN(B25)))))-5))</f>
        <v>Saint Etienne de Montluc</v>
      </c>
    </row>
    <row r="26" spans="1:7" ht="62.5" x14ac:dyDescent="0.35">
      <c r="A26" s="37" t="s">
        <v>1121</v>
      </c>
      <c r="B26" s="39" t="s">
        <v>1086</v>
      </c>
      <c r="C26" s="40">
        <v>13000</v>
      </c>
      <c r="D26" s="48" t="str">
        <f t="shared" si="0"/>
        <v>BBJ Nord</v>
      </c>
      <c r="E26" t="s">
        <v>1160</v>
      </c>
      <c r="F26">
        <v>14100</v>
      </c>
      <c r="G26" t="s">
        <v>45</v>
      </c>
    </row>
    <row r="27" spans="1:7" ht="37.5" x14ac:dyDescent="0.35">
      <c r="A27" s="37" t="s">
        <v>1122</v>
      </c>
      <c r="B27" s="39" t="s">
        <v>1087</v>
      </c>
      <c r="C27" s="40">
        <v>18000</v>
      </c>
      <c r="D27" s="48" t="str">
        <f t="shared" si="0"/>
        <v>BBJ Sud Ouest</v>
      </c>
      <c r="E27" t="str">
        <f t="shared" si="1"/>
        <v>BBJSO
6 Chemin d'Auguste</v>
      </c>
      <c r="F27" t="str" cm="1">
        <f t="array" aca="1" ref="F27" ca="1">TRIM(MID(B27,MIN(IF(ISNUMBER(MID(B27,ROW(INDIRECT("1:"&amp;LEN(B27))),5)*1),ROW(INDIRECT("1:"&amp;LEN(B27))))),5))</f>
        <v>33610</v>
      </c>
      <c r="G27" t="str" cm="1">
        <f t="array" aca="1" ref="G27" ca="1">TRIM(RIGHT(B27,LEN(B27)-MIN(IF(ISNUMBER(MID(B27,ROW(INDIRECT("1:"&amp;LEN(B27))),5)*1),ROW(INDIRECT("1:"&amp;LEN(B27)))))-5))</f>
        <v>CESTAS</v>
      </c>
    </row>
    <row r="28" spans="1:7" ht="50" x14ac:dyDescent="0.35">
      <c r="A28" s="37" t="s">
        <v>1078</v>
      </c>
      <c r="B28" s="39" t="s">
        <v>1088</v>
      </c>
      <c r="C28" s="40">
        <v>2000</v>
      </c>
      <c r="D28" s="48" t="str">
        <f t="shared" si="0"/>
        <v>SCAPMAREE</v>
      </c>
      <c r="E28" t="str">
        <f t="shared" si="1"/>
        <v>SCAPMAREE
Rue Marcellin Berthelot</v>
      </c>
      <c r="F28">
        <v>91320</v>
      </c>
      <c r="G28" t="s">
        <v>1162</v>
      </c>
    </row>
    <row r="29" spans="1:7" ht="62.5" x14ac:dyDescent="0.35">
      <c r="A29" s="37" t="s">
        <v>1079</v>
      </c>
      <c r="B29" s="39" t="s">
        <v>1089</v>
      </c>
      <c r="C29" s="40">
        <v>6000</v>
      </c>
      <c r="D29" s="48" t="str">
        <f t="shared" si="0"/>
        <v>SCAPAUTO</v>
      </c>
      <c r="E29" t="s">
        <v>1160</v>
      </c>
      <c r="F29">
        <v>14100</v>
      </c>
      <c r="G29" t="s">
        <v>45</v>
      </c>
    </row>
    <row r="30" spans="1:7" ht="25" x14ac:dyDescent="0.35">
      <c r="A30" s="37" t="s">
        <v>1080</v>
      </c>
      <c r="B30" s="39" t="s">
        <v>1082</v>
      </c>
      <c r="C30" s="40">
        <v>125000</v>
      </c>
      <c r="D30" s="48" t="str">
        <f t="shared" si="0"/>
        <v>CEDILEC</v>
      </c>
      <c r="E30" t="s">
        <v>1157</v>
      </c>
      <c r="F30">
        <v>76600</v>
      </c>
      <c r="G30" t="str" cm="1">
        <f t="array" aca="1" ref="G30" ca="1">TRIM(RIGHT(B30,LEN(B30)-MIN(IF(ISNUMBER(MID(B30,ROW(INDIRECT("1:"&amp;LEN(B30))),5)*1),ROW(INDIRECT("1:"&amp;LEN(B30)))))-5))</f>
        <v>Le Havre</v>
      </c>
    </row>
    <row r="31" spans="1:7" ht="37.5" x14ac:dyDescent="0.35">
      <c r="A31" s="37" t="s">
        <v>1081</v>
      </c>
      <c r="B31" s="39" t="s">
        <v>1090</v>
      </c>
      <c r="C31" s="40">
        <v>30000</v>
      </c>
      <c r="D31" s="48" t="str">
        <f t="shared" si="0"/>
        <v>KERMENE</v>
      </c>
      <c r="E31" t="str">
        <f t="shared" si="1"/>
        <v>KERMENE
13 Le Perey, Saint-Jacut-Du-Mené</v>
      </c>
      <c r="F31" t="str" cm="1">
        <f t="array" aca="1" ref="F31" ca="1">TRIM(MID(B31,MIN(IF(ISNUMBER(MID(B31,ROW(INDIRECT("1:"&amp;LEN(B31))),5)*1),ROW(INDIRECT("1:"&amp;LEN(B31))))),5))</f>
        <v>22330</v>
      </c>
      <c r="G31" t="str" cm="1">
        <f t="array" aca="1" ref="G31" ca="1">TRIM(RIGHT(B31,LEN(B31)-MIN(IF(ISNUMBER(MID(B31,ROW(INDIRECT("1:"&amp;LEN(B31))),5)*1),ROW(INDIRECT("1:"&amp;LEN(B31)))))-5))</f>
        <v>LE MENE</v>
      </c>
    </row>
    <row r="32" spans="1:7" ht="50" x14ac:dyDescent="0.35">
      <c r="A32" s="37" t="s">
        <v>131</v>
      </c>
      <c r="B32" s="39" t="s">
        <v>1091</v>
      </c>
      <c r="C32" s="40">
        <v>30000</v>
      </c>
      <c r="D32" s="48" t="str">
        <f t="shared" si="0"/>
        <v>VERALEC</v>
      </c>
      <c r="E32" t="str">
        <f t="shared" si="1"/>
        <v>VERALEC
ZA du Bos Plan,</v>
      </c>
      <c r="F32" t="str" cm="1">
        <f t="array" aca="1" ref="F32" ca="1">TRIM(MID(B32,MIN(IF(ISNUMBER(MID(B32,ROW(INDIRECT("1:"&amp;LEN(B32))),5)*1),ROW(INDIRECT("1:"&amp;LEN(B32))))),5))</f>
        <v>33750</v>
      </c>
      <c r="G32" t="str" cm="1">
        <f t="array" aca="1" ref="G32" ca="1">TRIM(RIGHT(B32,LEN(B32)-MIN(IF(ISNUMBER(MID(B32,ROW(INDIRECT("1:"&amp;LEN(B32))),5)*1),ROW(INDIRECT("1:"&amp;LEN(B32)))))-5))</f>
        <v>Beychac-et-Caillau</v>
      </c>
    </row>
    <row r="33" spans="1:7" ht="25" x14ac:dyDescent="0.35">
      <c r="A33" s="37" t="s">
        <v>1126</v>
      </c>
      <c r="B33" s="39" t="s">
        <v>1127</v>
      </c>
      <c r="C33" s="40">
        <v>5500</v>
      </c>
      <c r="D33" s="48" t="s">
        <v>1148</v>
      </c>
      <c r="E33" t="s">
        <v>1158</v>
      </c>
      <c r="F33">
        <v>28630</v>
      </c>
      <c r="G33" t="s">
        <v>1159</v>
      </c>
    </row>
    <row r="34" spans="1:7" x14ac:dyDescent="0.35">
      <c r="C34" s="41"/>
      <c r="D34" s="41"/>
    </row>
  </sheetData>
  <mergeCells count="8">
    <mergeCell ref="A17:A18"/>
    <mergeCell ref="C17:C18"/>
    <mergeCell ref="C14:C15"/>
    <mergeCell ref="A14:A15"/>
    <mergeCell ref="A6:A8"/>
    <mergeCell ref="C6:C8"/>
    <mergeCell ref="A11:A12"/>
    <mergeCell ref="C11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DCE2-0667-4BA0-AAD2-3C0E0354287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D13" sqref="D13"/>
    </sheetView>
  </sheetViews>
  <sheetFormatPr baseColWidth="10" defaultRowHeight="14.5" x14ac:dyDescent="0.35"/>
  <cols>
    <col min="1" max="1" width="21" bestFit="1" customWidth="1"/>
    <col min="2" max="2" width="22" bestFit="1" customWidth="1"/>
  </cols>
  <sheetData>
    <row r="3" spans="1:2" x14ac:dyDescent="0.35">
      <c r="A3" s="45" t="s">
        <v>1128</v>
      </c>
      <c r="B3" t="s">
        <v>1130</v>
      </c>
    </row>
    <row r="4" spans="1:2" x14ac:dyDescent="0.35">
      <c r="A4" s="46" t="s">
        <v>17</v>
      </c>
      <c r="B4" s="47">
        <v>151000</v>
      </c>
    </row>
    <row r="5" spans="1:2" x14ac:dyDescent="0.35">
      <c r="A5" s="46" t="s">
        <v>30</v>
      </c>
      <c r="B5" s="47">
        <v>59039</v>
      </c>
    </row>
    <row r="6" spans="1:2" x14ac:dyDescent="0.35">
      <c r="A6" s="46" t="s">
        <v>35</v>
      </c>
      <c r="B6" s="47">
        <v>115153</v>
      </c>
    </row>
    <row r="7" spans="1:2" x14ac:dyDescent="0.35">
      <c r="A7" s="46" t="s">
        <v>37</v>
      </c>
      <c r="B7" s="47">
        <v>79300</v>
      </c>
    </row>
    <row r="8" spans="1:2" x14ac:dyDescent="0.35">
      <c r="A8" s="46" t="s">
        <v>42</v>
      </c>
      <c r="B8" s="47">
        <v>96000</v>
      </c>
    </row>
    <row r="9" spans="1:2" x14ac:dyDescent="0.35">
      <c r="A9" s="46" t="s">
        <v>44</v>
      </c>
      <c r="B9" s="47">
        <v>92679</v>
      </c>
    </row>
    <row r="10" spans="1:2" x14ac:dyDescent="0.35">
      <c r="A10" s="46" t="s">
        <v>57</v>
      </c>
      <c r="B10" s="47">
        <v>127210</v>
      </c>
    </row>
    <row r="11" spans="1:2" x14ac:dyDescent="0.35">
      <c r="A11" s="46" t="s">
        <v>66</v>
      </c>
      <c r="B11" s="47">
        <v>132450</v>
      </c>
    </row>
    <row r="12" spans="1:2" x14ac:dyDescent="0.35">
      <c r="A12" s="46" t="s">
        <v>80</v>
      </c>
      <c r="B12" s="47">
        <v>135690</v>
      </c>
    </row>
    <row r="13" spans="1:2" x14ac:dyDescent="0.35">
      <c r="A13" s="46" t="s">
        <v>86</v>
      </c>
      <c r="B13" s="47">
        <v>151426</v>
      </c>
    </row>
    <row r="14" spans="1:2" x14ac:dyDescent="0.35">
      <c r="A14" s="46" t="s">
        <v>95</v>
      </c>
      <c r="B14" s="47">
        <v>86300</v>
      </c>
    </row>
    <row r="15" spans="1:2" x14ac:dyDescent="0.35">
      <c r="A15" s="46" t="s">
        <v>97</v>
      </c>
      <c r="B15" s="47">
        <v>77725</v>
      </c>
    </row>
    <row r="16" spans="1:2" x14ac:dyDescent="0.35">
      <c r="A16" s="46" t="s">
        <v>107</v>
      </c>
      <c r="B16" s="47">
        <v>102500</v>
      </c>
    </row>
    <row r="17" spans="1:2" x14ac:dyDescent="0.35">
      <c r="A17" s="46" t="s">
        <v>121</v>
      </c>
      <c r="B17" s="47">
        <v>107300</v>
      </c>
    </row>
    <row r="18" spans="1:2" x14ac:dyDescent="0.35">
      <c r="A18" s="46" t="s">
        <v>124</v>
      </c>
      <c r="B18" s="47">
        <v>107200</v>
      </c>
    </row>
    <row r="19" spans="1:2" x14ac:dyDescent="0.35">
      <c r="A19" s="46" t="s">
        <v>128</v>
      </c>
      <c r="B19" s="47">
        <v>90000</v>
      </c>
    </row>
    <row r="20" spans="1:2" x14ac:dyDescent="0.35">
      <c r="A20" s="46" t="s">
        <v>1129</v>
      </c>
      <c r="B20" s="47">
        <v>1710972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2"/>
  <sheetViews>
    <sheetView showGridLines="0" zoomScale="83" zoomScaleNormal="83" workbookViewId="0">
      <pane ySplit="1" topLeftCell="A2" activePane="bottomLeft" state="frozen"/>
      <selection activeCell="C1" sqref="C1"/>
      <selection pane="bottomLeft" activeCell="B10" sqref="B10"/>
    </sheetView>
  </sheetViews>
  <sheetFormatPr baseColWidth="10" defaultColWidth="10.90625" defaultRowHeight="14.5" x14ac:dyDescent="0.35"/>
  <cols>
    <col min="1" max="1" width="14.08984375" style="11" bestFit="1" customWidth="1"/>
    <col min="2" max="2" width="24" style="11" customWidth="1"/>
    <col min="3" max="3" width="19.08984375" style="11" customWidth="1"/>
    <col min="4" max="4" width="16.90625" style="10" customWidth="1"/>
    <col min="5" max="5" width="10.90625" style="10"/>
    <col min="6" max="6" width="13.6328125" style="10" customWidth="1"/>
    <col min="7" max="7" width="31.90625" style="10" customWidth="1"/>
    <col min="8" max="8" width="38.90625" style="11" customWidth="1"/>
    <col min="9" max="9" width="13.08984375" style="10" customWidth="1"/>
    <col min="10" max="10" width="13" style="10" customWidth="1"/>
    <col min="11" max="11" width="28" style="10" customWidth="1"/>
    <col min="12" max="12" width="22.90625" style="10" customWidth="1"/>
    <col min="13" max="13" width="25.36328125" style="10" customWidth="1"/>
    <col min="14" max="14" width="23" style="10" customWidth="1"/>
    <col min="15" max="15" width="22.08984375" style="10" customWidth="1"/>
    <col min="16" max="16" width="24.54296875" style="10" bestFit="1" customWidth="1"/>
    <col min="17" max="17" width="22.90625" style="10" customWidth="1"/>
    <col min="18" max="18" width="11.36328125" style="11" customWidth="1"/>
    <col min="19" max="16384" width="10.90625" style="11"/>
  </cols>
  <sheetData>
    <row r="1" spans="1:18" s="10" customFormat="1" x14ac:dyDescent="0.35">
      <c r="A1" s="8" t="s">
        <v>791</v>
      </c>
      <c r="B1" s="8" t="s">
        <v>792</v>
      </c>
      <c r="C1" s="8" t="s">
        <v>793</v>
      </c>
      <c r="D1" s="8" t="s">
        <v>794</v>
      </c>
      <c r="E1" s="8" t="s">
        <v>795</v>
      </c>
      <c r="F1" s="8" t="s">
        <v>796</v>
      </c>
      <c r="G1" s="8" t="s">
        <v>797</v>
      </c>
      <c r="H1" s="9" t="s">
        <v>798</v>
      </c>
      <c r="I1" s="8" t="s">
        <v>799</v>
      </c>
      <c r="J1" s="8" t="s">
        <v>800</v>
      </c>
      <c r="K1" s="8" t="s">
        <v>801</v>
      </c>
      <c r="L1" s="8" t="s">
        <v>802</v>
      </c>
      <c r="M1" s="8" t="s">
        <v>803</v>
      </c>
      <c r="N1" s="8" t="s">
        <v>804</v>
      </c>
      <c r="O1" s="8" t="s">
        <v>805</v>
      </c>
      <c r="P1" s="8" t="s">
        <v>806</v>
      </c>
      <c r="Q1" s="8" t="s">
        <v>807</v>
      </c>
      <c r="R1" s="8" t="s">
        <v>808</v>
      </c>
    </row>
    <row r="2" spans="1:18" x14ac:dyDescent="0.35">
      <c r="A2" s="11" t="s">
        <v>17</v>
      </c>
      <c r="B2" s="12" t="s">
        <v>809</v>
      </c>
      <c r="C2" s="12"/>
      <c r="D2" s="12" t="s">
        <v>810</v>
      </c>
      <c r="E2" s="13" t="s">
        <v>811</v>
      </c>
      <c r="F2" s="14" t="s">
        <v>812</v>
      </c>
      <c r="G2" s="12" t="s">
        <v>813</v>
      </c>
      <c r="H2" s="12">
        <v>5</v>
      </c>
      <c r="I2" s="15">
        <v>15000</v>
      </c>
      <c r="J2" s="12"/>
      <c r="K2" s="12"/>
      <c r="P2" s="10" t="s">
        <v>814</v>
      </c>
      <c r="Q2" s="10">
        <v>73300</v>
      </c>
    </row>
    <row r="3" spans="1:18" x14ac:dyDescent="0.35">
      <c r="A3" s="11" t="s">
        <v>17</v>
      </c>
      <c r="B3" s="12" t="s">
        <v>815</v>
      </c>
      <c r="C3" s="12"/>
      <c r="D3" s="12" t="s">
        <v>816</v>
      </c>
      <c r="E3" s="13" t="s">
        <v>811</v>
      </c>
      <c r="F3" s="14" t="s">
        <v>812</v>
      </c>
      <c r="G3" s="12" t="s">
        <v>813</v>
      </c>
      <c r="H3" s="12">
        <v>5</v>
      </c>
      <c r="I3" s="15">
        <v>11500</v>
      </c>
      <c r="J3" s="12"/>
      <c r="K3" s="12"/>
      <c r="P3" s="10" t="s">
        <v>817</v>
      </c>
    </row>
    <row r="4" spans="1:18" x14ac:dyDescent="0.35">
      <c r="A4" s="11" t="s">
        <v>17</v>
      </c>
      <c r="B4" s="12" t="s">
        <v>818</v>
      </c>
      <c r="C4" s="12"/>
      <c r="D4" s="12" t="s">
        <v>810</v>
      </c>
      <c r="E4" s="13" t="s">
        <v>811</v>
      </c>
      <c r="F4" s="14" t="s">
        <v>819</v>
      </c>
      <c r="G4" s="12" t="s">
        <v>820</v>
      </c>
      <c r="H4" s="16" t="s">
        <v>821</v>
      </c>
      <c r="I4" s="15">
        <v>35000</v>
      </c>
      <c r="J4" s="12"/>
      <c r="K4" s="15">
        <v>31000</v>
      </c>
      <c r="P4" s="10" t="s">
        <v>814</v>
      </c>
    </row>
    <row r="5" spans="1:18" x14ac:dyDescent="0.35">
      <c r="A5" s="11" t="s">
        <v>17</v>
      </c>
      <c r="B5" s="12" t="s">
        <v>815</v>
      </c>
      <c r="C5" s="12"/>
      <c r="D5" s="12" t="s">
        <v>816</v>
      </c>
      <c r="E5" s="13" t="s">
        <v>811</v>
      </c>
      <c r="F5" s="14" t="s">
        <v>819</v>
      </c>
      <c r="G5" s="12" t="s">
        <v>820</v>
      </c>
      <c r="H5" s="16" t="s">
        <v>821</v>
      </c>
      <c r="I5" s="15">
        <v>44000</v>
      </c>
      <c r="J5" s="12">
        <v>10</v>
      </c>
      <c r="K5" s="15">
        <v>34000</v>
      </c>
      <c r="P5" s="10" t="s">
        <v>817</v>
      </c>
    </row>
    <row r="6" spans="1:18" x14ac:dyDescent="0.35">
      <c r="A6" s="11" t="s">
        <v>17</v>
      </c>
      <c r="B6" s="12" t="s">
        <v>822</v>
      </c>
      <c r="C6" s="12"/>
      <c r="D6" s="12" t="s">
        <v>810</v>
      </c>
      <c r="E6" s="13" t="s">
        <v>811</v>
      </c>
      <c r="F6" s="14" t="s">
        <v>823</v>
      </c>
      <c r="G6" s="12" t="s">
        <v>824</v>
      </c>
      <c r="H6" s="12">
        <v>9</v>
      </c>
      <c r="I6" s="15" t="s">
        <v>825</v>
      </c>
      <c r="J6" s="12"/>
      <c r="K6" s="15">
        <v>1000</v>
      </c>
      <c r="P6" s="10" t="s">
        <v>814</v>
      </c>
    </row>
    <row r="7" spans="1:18" x14ac:dyDescent="0.35">
      <c r="A7" s="11" t="s">
        <v>17</v>
      </c>
      <c r="B7" s="12" t="s">
        <v>815</v>
      </c>
      <c r="C7" s="12"/>
      <c r="D7" s="12" t="s">
        <v>816</v>
      </c>
      <c r="E7" s="13" t="s">
        <v>811</v>
      </c>
      <c r="F7" s="14" t="s">
        <v>823</v>
      </c>
      <c r="G7" s="12" t="s">
        <v>824</v>
      </c>
      <c r="H7" s="12">
        <v>9</v>
      </c>
      <c r="I7" s="15">
        <v>3500</v>
      </c>
      <c r="J7" s="12"/>
      <c r="K7" s="15">
        <v>2000</v>
      </c>
      <c r="P7" s="10" t="s">
        <v>817</v>
      </c>
    </row>
    <row r="8" spans="1:18" x14ac:dyDescent="0.35">
      <c r="A8" s="11" t="s">
        <v>17</v>
      </c>
      <c r="B8" s="12" t="s">
        <v>826</v>
      </c>
      <c r="C8" s="12"/>
      <c r="D8" s="12" t="s">
        <v>810</v>
      </c>
      <c r="E8" s="13" t="s">
        <v>811</v>
      </c>
      <c r="F8" s="14" t="s">
        <v>819</v>
      </c>
      <c r="G8" s="12" t="s">
        <v>820</v>
      </c>
      <c r="H8" s="17" t="s">
        <v>827</v>
      </c>
      <c r="I8" s="15">
        <v>42000</v>
      </c>
      <c r="J8" s="12"/>
      <c r="K8" s="15">
        <v>33500</v>
      </c>
      <c r="P8" s="10" t="s">
        <v>814</v>
      </c>
    </row>
    <row r="9" spans="1:18" x14ac:dyDescent="0.35">
      <c r="A9" s="11" t="s">
        <v>30</v>
      </c>
      <c r="B9" s="12" t="s">
        <v>828</v>
      </c>
      <c r="C9" s="12"/>
      <c r="D9" s="12" t="s">
        <v>816</v>
      </c>
      <c r="E9" s="12" t="s">
        <v>811</v>
      </c>
      <c r="F9" s="14" t="s">
        <v>812</v>
      </c>
      <c r="G9" s="12" t="s">
        <v>829</v>
      </c>
      <c r="H9" s="15">
        <v>1.5</v>
      </c>
      <c r="I9" s="15">
        <v>8299</v>
      </c>
      <c r="J9" s="15">
        <v>9</v>
      </c>
      <c r="K9" s="10" t="s">
        <v>830</v>
      </c>
      <c r="L9" s="18">
        <v>0.9</v>
      </c>
      <c r="M9" s="15">
        <v>1900</v>
      </c>
      <c r="N9" s="15">
        <v>80000</v>
      </c>
      <c r="O9" s="15">
        <v>100</v>
      </c>
      <c r="P9" s="15">
        <v>2011</v>
      </c>
    </row>
    <row r="10" spans="1:18" x14ac:dyDescent="0.35">
      <c r="A10" s="11" t="s">
        <v>30</v>
      </c>
      <c r="B10" s="12" t="s">
        <v>831</v>
      </c>
      <c r="C10" s="12"/>
      <c r="D10" s="12" t="s">
        <v>816</v>
      </c>
      <c r="E10" s="12" t="s">
        <v>811</v>
      </c>
      <c r="F10" s="14" t="s">
        <v>812</v>
      </c>
      <c r="G10" s="12" t="s">
        <v>829</v>
      </c>
      <c r="H10" s="12" t="s">
        <v>832</v>
      </c>
      <c r="I10" s="15">
        <v>3545</v>
      </c>
      <c r="J10" s="15">
        <v>9</v>
      </c>
      <c r="K10" s="10" t="s">
        <v>830</v>
      </c>
      <c r="L10" s="18">
        <v>0.5</v>
      </c>
      <c r="M10" s="12"/>
      <c r="N10" s="12"/>
      <c r="O10" s="12"/>
      <c r="P10" s="15">
        <v>2011</v>
      </c>
    </row>
    <row r="11" spans="1:18" x14ac:dyDescent="0.35">
      <c r="A11" s="11" t="s">
        <v>30</v>
      </c>
      <c r="B11" s="12" t="s">
        <v>833</v>
      </c>
      <c r="C11" s="12"/>
      <c r="D11" s="12" t="s">
        <v>816</v>
      </c>
      <c r="E11" s="12" t="s">
        <v>811</v>
      </c>
      <c r="F11" s="14" t="s">
        <v>812</v>
      </c>
      <c r="G11" s="12" t="s">
        <v>829</v>
      </c>
      <c r="H11" s="15">
        <v>5</v>
      </c>
      <c r="I11" s="15">
        <v>390</v>
      </c>
      <c r="J11" s="15">
        <v>9</v>
      </c>
      <c r="K11" s="10" t="s">
        <v>830</v>
      </c>
      <c r="L11" s="18">
        <v>0.1</v>
      </c>
      <c r="M11" s="15">
        <v>100</v>
      </c>
      <c r="N11" s="12"/>
      <c r="O11" s="12"/>
      <c r="P11" s="15">
        <v>2011</v>
      </c>
    </row>
    <row r="12" spans="1:18" x14ac:dyDescent="0.35">
      <c r="A12" s="11" t="s">
        <v>30</v>
      </c>
      <c r="B12" s="12" t="s">
        <v>834</v>
      </c>
      <c r="C12" s="12"/>
      <c r="D12" s="12" t="s">
        <v>816</v>
      </c>
      <c r="E12" s="12" t="s">
        <v>811</v>
      </c>
      <c r="F12" s="14" t="s">
        <v>812</v>
      </c>
      <c r="G12" s="12" t="s">
        <v>829</v>
      </c>
      <c r="H12" s="15">
        <v>5</v>
      </c>
      <c r="I12" s="15">
        <v>2253</v>
      </c>
      <c r="J12" s="15">
        <v>9</v>
      </c>
      <c r="K12" s="10" t="s">
        <v>830</v>
      </c>
      <c r="L12" s="18"/>
      <c r="M12" s="15">
        <v>500</v>
      </c>
      <c r="N12" s="12"/>
      <c r="O12" s="15">
        <v>80</v>
      </c>
      <c r="P12" s="15">
        <v>2011</v>
      </c>
    </row>
    <row r="13" spans="1:18" x14ac:dyDescent="0.35">
      <c r="A13" s="11" t="s">
        <v>30</v>
      </c>
      <c r="B13" s="12" t="s">
        <v>835</v>
      </c>
      <c r="C13" s="12"/>
      <c r="D13" s="12" t="s">
        <v>816</v>
      </c>
      <c r="E13" s="12" t="s">
        <v>811</v>
      </c>
      <c r="F13" s="14" t="s">
        <v>823</v>
      </c>
      <c r="G13" s="12" t="s">
        <v>836</v>
      </c>
      <c r="H13" s="12" t="s">
        <v>837</v>
      </c>
      <c r="I13" s="15">
        <v>1705</v>
      </c>
      <c r="L13" s="18">
        <v>0.8</v>
      </c>
      <c r="M13" s="12" t="s">
        <v>838</v>
      </c>
      <c r="N13" s="12"/>
      <c r="O13" s="12"/>
      <c r="P13" s="12" t="s">
        <v>838</v>
      </c>
    </row>
    <row r="14" spans="1:18" ht="29" x14ac:dyDescent="0.35">
      <c r="A14" s="11" t="s">
        <v>30</v>
      </c>
      <c r="B14" s="12" t="s">
        <v>839</v>
      </c>
      <c r="C14" s="12"/>
      <c r="D14" s="12" t="s">
        <v>816</v>
      </c>
      <c r="E14" s="12" t="s">
        <v>811</v>
      </c>
      <c r="F14" s="14" t="s">
        <v>812</v>
      </c>
      <c r="G14" s="12" t="s">
        <v>829</v>
      </c>
      <c r="H14" s="12" t="s">
        <v>840</v>
      </c>
      <c r="I14" s="15">
        <v>1502</v>
      </c>
      <c r="L14" s="18">
        <v>0.85</v>
      </c>
      <c r="M14" s="12"/>
      <c r="N14" s="12"/>
      <c r="O14" s="12"/>
      <c r="P14" s="12" t="s">
        <v>838</v>
      </c>
    </row>
    <row r="15" spans="1:18" ht="29" x14ac:dyDescent="0.35">
      <c r="A15" s="11" t="s">
        <v>30</v>
      </c>
      <c r="B15" s="12" t="s">
        <v>841</v>
      </c>
      <c r="C15" s="12"/>
      <c r="D15" s="12" t="s">
        <v>816</v>
      </c>
      <c r="E15" s="12" t="s">
        <v>811</v>
      </c>
      <c r="F15" s="14" t="s">
        <v>823</v>
      </c>
      <c r="G15" s="12" t="s">
        <v>829</v>
      </c>
      <c r="H15" s="12" t="s">
        <v>842</v>
      </c>
      <c r="I15" s="15">
        <v>1560</v>
      </c>
      <c r="L15" s="18">
        <v>0.85</v>
      </c>
      <c r="M15" s="12"/>
      <c r="N15" s="12"/>
      <c r="O15" s="12"/>
      <c r="P15" s="12" t="s">
        <v>838</v>
      </c>
    </row>
    <row r="16" spans="1:18" ht="29" x14ac:dyDescent="0.35">
      <c r="A16" s="11" t="s">
        <v>30</v>
      </c>
      <c r="B16" s="12" t="s">
        <v>843</v>
      </c>
      <c r="C16" s="12"/>
      <c r="D16" s="12" t="s">
        <v>816</v>
      </c>
      <c r="E16" s="12" t="s">
        <v>811</v>
      </c>
      <c r="F16" s="14" t="s">
        <v>819</v>
      </c>
      <c r="G16" s="12" t="s">
        <v>829</v>
      </c>
      <c r="H16" s="12" t="s">
        <v>844</v>
      </c>
      <c r="I16" s="15">
        <v>4659</v>
      </c>
      <c r="L16" s="18">
        <v>0.85</v>
      </c>
      <c r="M16" s="12"/>
      <c r="N16" s="12"/>
      <c r="O16" s="12"/>
      <c r="P16" s="12" t="s">
        <v>838</v>
      </c>
    </row>
    <row r="17" spans="1:16" ht="29" x14ac:dyDescent="0.35">
      <c r="A17" s="11" t="s">
        <v>30</v>
      </c>
      <c r="B17" s="12" t="s">
        <v>845</v>
      </c>
      <c r="C17" s="12"/>
      <c r="D17" s="12" t="s">
        <v>816</v>
      </c>
      <c r="E17" s="12" t="s">
        <v>811</v>
      </c>
      <c r="F17" s="14" t="s">
        <v>819</v>
      </c>
      <c r="G17" s="12" t="s">
        <v>836</v>
      </c>
      <c r="H17" s="12" t="s">
        <v>846</v>
      </c>
      <c r="I17" s="15">
        <v>3170</v>
      </c>
      <c r="L17" s="18">
        <v>0.85</v>
      </c>
      <c r="M17" s="12"/>
      <c r="N17" s="12"/>
      <c r="O17" s="12"/>
      <c r="P17" s="12" t="s">
        <v>838</v>
      </c>
    </row>
    <row r="18" spans="1:16" x14ac:dyDescent="0.35">
      <c r="A18" s="11" t="s">
        <v>30</v>
      </c>
      <c r="B18" s="12" t="s">
        <v>847</v>
      </c>
      <c r="C18" s="12"/>
      <c r="D18" s="12" t="s">
        <v>816</v>
      </c>
      <c r="E18" s="12" t="s">
        <v>811</v>
      </c>
      <c r="F18" s="14" t="s">
        <v>819</v>
      </c>
      <c r="G18" s="12" t="s">
        <v>836</v>
      </c>
      <c r="H18" s="12"/>
      <c r="I18" s="15">
        <v>660</v>
      </c>
      <c r="L18" s="18">
        <v>0.85</v>
      </c>
      <c r="M18" s="12"/>
      <c r="N18" s="12"/>
      <c r="O18" s="12"/>
      <c r="P18" s="12" t="s">
        <v>838</v>
      </c>
    </row>
    <row r="19" spans="1:16" x14ac:dyDescent="0.35">
      <c r="A19" s="11" t="s">
        <v>30</v>
      </c>
      <c r="B19" s="12" t="s">
        <v>848</v>
      </c>
      <c r="C19" s="12"/>
      <c r="D19" s="12" t="s">
        <v>816</v>
      </c>
      <c r="E19" s="12" t="s">
        <v>811</v>
      </c>
      <c r="F19" s="14" t="s">
        <v>819</v>
      </c>
      <c r="G19" s="12" t="s">
        <v>836</v>
      </c>
      <c r="H19" s="12"/>
      <c r="I19" s="15">
        <v>1000</v>
      </c>
      <c r="L19" s="18">
        <v>0.85</v>
      </c>
      <c r="M19" s="12"/>
      <c r="N19" s="12"/>
      <c r="O19" s="12"/>
      <c r="P19" s="12" t="s">
        <v>838</v>
      </c>
    </row>
    <row r="20" spans="1:16" x14ac:dyDescent="0.35">
      <c r="A20" s="11" t="s">
        <v>30</v>
      </c>
      <c r="B20" s="12">
        <v>30</v>
      </c>
      <c r="C20" s="12"/>
      <c r="D20" s="12" t="s">
        <v>816</v>
      </c>
      <c r="E20" s="12" t="s">
        <v>811</v>
      </c>
      <c r="F20" s="14" t="s">
        <v>819</v>
      </c>
      <c r="G20" s="12" t="s">
        <v>836</v>
      </c>
      <c r="H20" s="12"/>
      <c r="I20" s="15">
        <v>4202</v>
      </c>
      <c r="L20" s="18">
        <v>0.85</v>
      </c>
      <c r="M20" s="12"/>
      <c r="N20" s="12"/>
      <c r="O20" s="12"/>
      <c r="P20" s="12" t="s">
        <v>838</v>
      </c>
    </row>
    <row r="21" spans="1:16" ht="43.5" x14ac:dyDescent="0.35">
      <c r="A21" s="11" t="s">
        <v>30</v>
      </c>
      <c r="B21" s="12" t="s">
        <v>849</v>
      </c>
      <c r="C21" s="12"/>
      <c r="D21" s="12" t="s">
        <v>816</v>
      </c>
      <c r="E21" s="12" t="s">
        <v>811</v>
      </c>
      <c r="F21" s="14" t="s">
        <v>819</v>
      </c>
      <c r="G21" s="12" t="s">
        <v>836</v>
      </c>
      <c r="H21" s="12"/>
      <c r="I21" s="15">
        <v>2330</v>
      </c>
      <c r="L21" s="18">
        <v>0.85</v>
      </c>
      <c r="M21" s="12"/>
      <c r="N21" s="12"/>
      <c r="O21" s="12"/>
      <c r="P21" s="12" t="s">
        <v>838</v>
      </c>
    </row>
    <row r="22" spans="1:16" x14ac:dyDescent="0.35">
      <c r="A22" s="11" t="s">
        <v>30</v>
      </c>
      <c r="B22" s="12" t="s">
        <v>850</v>
      </c>
      <c r="C22" s="12"/>
      <c r="D22" s="12" t="s">
        <v>816</v>
      </c>
      <c r="E22" s="12" t="s">
        <v>811</v>
      </c>
      <c r="F22" s="14" t="s">
        <v>819</v>
      </c>
      <c r="G22" s="12" t="s">
        <v>836</v>
      </c>
      <c r="H22" s="12"/>
      <c r="I22" s="15">
        <v>710</v>
      </c>
      <c r="L22" s="18">
        <v>0.85</v>
      </c>
      <c r="M22" s="12"/>
      <c r="N22" s="12"/>
      <c r="O22" s="12"/>
      <c r="P22" s="12" t="s">
        <v>838</v>
      </c>
    </row>
    <row r="23" spans="1:16" ht="29" x14ac:dyDescent="0.35">
      <c r="A23" s="11" t="s">
        <v>30</v>
      </c>
      <c r="B23" s="12" t="s">
        <v>851</v>
      </c>
      <c r="C23" s="12"/>
      <c r="D23" s="12" t="s">
        <v>816</v>
      </c>
      <c r="E23" s="12" t="s">
        <v>811</v>
      </c>
      <c r="F23" s="14" t="s">
        <v>819</v>
      </c>
      <c r="G23" s="12" t="s">
        <v>829</v>
      </c>
      <c r="H23" s="12"/>
      <c r="I23" s="15">
        <v>324</v>
      </c>
      <c r="L23" s="18">
        <v>0.85</v>
      </c>
      <c r="M23" s="12"/>
      <c r="N23" s="12"/>
      <c r="O23" s="12"/>
      <c r="P23" s="12" t="s">
        <v>838</v>
      </c>
    </row>
    <row r="24" spans="1:16" ht="29" x14ac:dyDescent="0.35">
      <c r="A24" s="11" t="s">
        <v>30</v>
      </c>
      <c r="B24" s="12" t="s">
        <v>852</v>
      </c>
      <c r="C24" s="12"/>
      <c r="D24" s="12" t="s">
        <v>816</v>
      </c>
      <c r="E24" s="12" t="s">
        <v>811</v>
      </c>
      <c r="F24" s="14" t="s">
        <v>819</v>
      </c>
      <c r="G24" s="12" t="s">
        <v>853</v>
      </c>
      <c r="H24" s="12"/>
      <c r="I24" s="15">
        <v>8958</v>
      </c>
      <c r="L24" s="18">
        <v>0.85</v>
      </c>
      <c r="M24" s="12"/>
      <c r="N24" s="12"/>
      <c r="O24" s="12"/>
      <c r="P24" s="12" t="s">
        <v>838</v>
      </c>
    </row>
    <row r="25" spans="1:16" ht="29" x14ac:dyDescent="0.35">
      <c r="A25" s="11" t="s">
        <v>30</v>
      </c>
      <c r="B25" s="12" t="s">
        <v>854</v>
      </c>
      <c r="C25" s="12"/>
      <c r="D25" s="12" t="s">
        <v>816</v>
      </c>
      <c r="E25" s="12" t="s">
        <v>811</v>
      </c>
      <c r="F25" s="14" t="s">
        <v>819</v>
      </c>
      <c r="G25" s="12" t="s">
        <v>853</v>
      </c>
      <c r="H25" s="12"/>
      <c r="I25" s="15">
        <v>4998</v>
      </c>
      <c r="L25" s="18">
        <v>0.85</v>
      </c>
      <c r="M25" s="12"/>
      <c r="N25" s="12"/>
      <c r="O25" s="12"/>
      <c r="P25" s="12" t="s">
        <v>838</v>
      </c>
    </row>
    <row r="26" spans="1:16" x14ac:dyDescent="0.35">
      <c r="A26" s="11" t="s">
        <v>30</v>
      </c>
      <c r="B26" s="12" t="s">
        <v>855</v>
      </c>
      <c r="C26" s="12"/>
      <c r="D26" s="12" t="s">
        <v>816</v>
      </c>
      <c r="E26" s="12" t="s">
        <v>811</v>
      </c>
      <c r="F26" s="14" t="s">
        <v>819</v>
      </c>
      <c r="G26" s="12" t="s">
        <v>853</v>
      </c>
      <c r="H26" s="12"/>
      <c r="I26" s="15">
        <v>2269</v>
      </c>
      <c r="L26" s="18">
        <v>0.85</v>
      </c>
      <c r="M26" s="12"/>
      <c r="N26" s="12"/>
      <c r="O26" s="12"/>
      <c r="P26" s="12" t="s">
        <v>838</v>
      </c>
    </row>
    <row r="27" spans="1:16" x14ac:dyDescent="0.35">
      <c r="A27" s="11" t="s">
        <v>30</v>
      </c>
      <c r="B27" s="12" t="s">
        <v>856</v>
      </c>
      <c r="C27" s="12"/>
      <c r="D27" s="12" t="s">
        <v>816</v>
      </c>
      <c r="E27" s="12" t="s">
        <v>811</v>
      </c>
      <c r="F27" s="14" t="s">
        <v>819</v>
      </c>
      <c r="G27" s="12" t="s">
        <v>829</v>
      </c>
      <c r="H27" s="12"/>
      <c r="I27" s="15">
        <v>1655</v>
      </c>
      <c r="L27" s="18">
        <v>0.85</v>
      </c>
      <c r="M27" s="12"/>
      <c r="N27" s="12"/>
      <c r="O27" s="12"/>
      <c r="P27" s="12" t="s">
        <v>838</v>
      </c>
    </row>
    <row r="28" spans="1:16" x14ac:dyDescent="0.35">
      <c r="A28" s="11" t="s">
        <v>30</v>
      </c>
      <c r="B28" s="12" t="s">
        <v>857</v>
      </c>
      <c r="C28" s="12"/>
      <c r="D28" s="12" t="s">
        <v>816</v>
      </c>
      <c r="E28" s="12" t="s">
        <v>811</v>
      </c>
      <c r="F28" s="14" t="s">
        <v>819</v>
      </c>
      <c r="G28" s="12" t="s">
        <v>829</v>
      </c>
      <c r="H28" s="12"/>
      <c r="I28" s="15">
        <v>4000</v>
      </c>
      <c r="L28" s="18">
        <v>0.85</v>
      </c>
      <c r="M28" s="12"/>
      <c r="N28" s="12"/>
      <c r="O28" s="12"/>
      <c r="P28" s="12" t="s">
        <v>838</v>
      </c>
    </row>
    <row r="29" spans="1:16" x14ac:dyDescent="0.35">
      <c r="A29" s="11" t="s">
        <v>30</v>
      </c>
      <c r="B29" s="12" t="s">
        <v>858</v>
      </c>
      <c r="C29" s="12"/>
      <c r="D29" s="12" t="s">
        <v>816</v>
      </c>
      <c r="E29" s="12" t="s">
        <v>811</v>
      </c>
      <c r="F29" s="14" t="s">
        <v>823</v>
      </c>
      <c r="G29" s="12" t="s">
        <v>859</v>
      </c>
      <c r="H29" s="12"/>
      <c r="I29" s="15">
        <v>850</v>
      </c>
      <c r="L29" s="18">
        <v>0.85</v>
      </c>
      <c r="M29" s="12"/>
      <c r="N29" s="12"/>
      <c r="O29" s="12"/>
      <c r="P29" s="12" t="s">
        <v>838</v>
      </c>
    </row>
    <row r="30" spans="1:16" x14ac:dyDescent="0.35">
      <c r="A30" s="11" t="s">
        <v>35</v>
      </c>
      <c r="B30" s="11" t="s">
        <v>860</v>
      </c>
      <c r="D30" s="10" t="s">
        <v>861</v>
      </c>
      <c r="E30" s="10" t="s">
        <v>811</v>
      </c>
      <c r="F30" s="10" t="s">
        <v>819</v>
      </c>
      <c r="G30" s="10" t="s">
        <v>811</v>
      </c>
      <c r="H30" s="11" t="s">
        <v>862</v>
      </c>
      <c r="I30" s="10">
        <v>22842</v>
      </c>
      <c r="J30" s="10">
        <v>6</v>
      </c>
      <c r="K30" s="10">
        <v>11000</v>
      </c>
      <c r="L30" s="19">
        <v>0.8</v>
      </c>
      <c r="M30" s="10" t="s">
        <v>863</v>
      </c>
      <c r="N30" s="10">
        <v>14000</v>
      </c>
      <c r="O30" s="19">
        <v>0.9</v>
      </c>
      <c r="P30" s="10" t="s">
        <v>864</v>
      </c>
    </row>
    <row r="31" spans="1:16" x14ac:dyDescent="0.35">
      <c r="A31" s="11" t="s">
        <v>35</v>
      </c>
      <c r="B31" s="11" t="s">
        <v>865</v>
      </c>
      <c r="D31" s="10" t="s">
        <v>861</v>
      </c>
      <c r="E31" s="10" t="s">
        <v>811</v>
      </c>
      <c r="F31" s="14" t="s">
        <v>823</v>
      </c>
      <c r="G31" s="10" t="s">
        <v>811</v>
      </c>
      <c r="H31" s="11">
        <v>57</v>
      </c>
      <c r="I31" s="10">
        <v>5311</v>
      </c>
      <c r="J31" s="10">
        <v>7</v>
      </c>
      <c r="K31" s="10">
        <v>2700</v>
      </c>
      <c r="L31" s="19">
        <v>0.8</v>
      </c>
      <c r="N31" s="10">
        <v>13000</v>
      </c>
      <c r="O31" s="19">
        <v>0.85</v>
      </c>
      <c r="P31" s="10" t="s">
        <v>866</v>
      </c>
    </row>
    <row r="32" spans="1:16" x14ac:dyDescent="0.35">
      <c r="A32" s="11" t="s">
        <v>35</v>
      </c>
      <c r="B32" s="11" t="s">
        <v>867</v>
      </c>
      <c r="D32" s="10" t="s">
        <v>861</v>
      </c>
      <c r="E32" s="10" t="s">
        <v>811</v>
      </c>
      <c r="F32" s="10" t="s">
        <v>819</v>
      </c>
      <c r="G32" s="10" t="s">
        <v>811</v>
      </c>
      <c r="H32" s="11" t="s">
        <v>868</v>
      </c>
      <c r="I32" s="10">
        <v>42000</v>
      </c>
      <c r="J32" s="10">
        <v>10</v>
      </c>
      <c r="K32" s="10">
        <v>27900</v>
      </c>
      <c r="L32" s="19">
        <v>0.85</v>
      </c>
      <c r="N32" s="10">
        <v>120000</v>
      </c>
      <c r="O32" s="19">
        <v>0.9</v>
      </c>
      <c r="P32" s="10" t="s">
        <v>869</v>
      </c>
    </row>
    <row r="33" spans="1:17" x14ac:dyDescent="0.35">
      <c r="A33" s="11" t="s">
        <v>35</v>
      </c>
      <c r="B33" s="11" t="s">
        <v>870</v>
      </c>
      <c r="D33" s="10" t="s">
        <v>861</v>
      </c>
      <c r="E33" s="10" t="s">
        <v>811</v>
      </c>
      <c r="F33" s="10" t="s">
        <v>812</v>
      </c>
      <c r="G33" s="10" t="s">
        <v>811</v>
      </c>
      <c r="H33" s="11" t="s">
        <v>871</v>
      </c>
      <c r="I33" s="10">
        <v>30000</v>
      </c>
      <c r="J33" s="10">
        <v>5</v>
      </c>
      <c r="L33" s="19"/>
      <c r="M33" s="10">
        <v>2600</v>
      </c>
      <c r="N33" s="10">
        <v>140000</v>
      </c>
      <c r="O33" s="19">
        <v>0.65</v>
      </c>
      <c r="P33" s="10" t="s">
        <v>872</v>
      </c>
    </row>
    <row r="34" spans="1:17" x14ac:dyDescent="0.35">
      <c r="A34" s="11" t="s">
        <v>35</v>
      </c>
      <c r="B34" s="11" t="s">
        <v>873</v>
      </c>
      <c r="D34" s="10" t="s">
        <v>810</v>
      </c>
      <c r="E34" s="10" t="s">
        <v>811</v>
      </c>
      <c r="F34" s="10" t="s">
        <v>819</v>
      </c>
      <c r="G34" s="10" t="s">
        <v>811</v>
      </c>
      <c r="H34" s="11">
        <v>2.2999999999999998</v>
      </c>
      <c r="I34" s="10">
        <v>15000</v>
      </c>
      <c r="J34" s="11"/>
      <c r="K34" s="10">
        <v>11000</v>
      </c>
      <c r="L34" s="19">
        <v>0.8</v>
      </c>
      <c r="M34" s="10" t="s">
        <v>863</v>
      </c>
      <c r="N34" s="10" t="s">
        <v>863</v>
      </c>
      <c r="P34" s="10" t="s">
        <v>874</v>
      </c>
    </row>
    <row r="35" spans="1:17" x14ac:dyDescent="0.35">
      <c r="A35" s="11" t="s">
        <v>37</v>
      </c>
      <c r="B35" s="20" t="s">
        <v>875</v>
      </c>
      <c r="D35" s="20" t="s">
        <v>816</v>
      </c>
      <c r="E35" s="20" t="s">
        <v>811</v>
      </c>
      <c r="F35" s="14" t="s">
        <v>823</v>
      </c>
      <c r="G35" s="20" t="s">
        <v>876</v>
      </c>
      <c r="H35" s="20" t="s">
        <v>877</v>
      </c>
      <c r="I35" s="21">
        <v>6000</v>
      </c>
      <c r="J35" s="21">
        <v>12</v>
      </c>
      <c r="K35" s="21">
        <v>4000</v>
      </c>
      <c r="L35" s="21">
        <v>75</v>
      </c>
      <c r="M35" s="21">
        <v>400</v>
      </c>
      <c r="N35" s="21">
        <v>16000</v>
      </c>
      <c r="O35" s="21">
        <v>70</v>
      </c>
      <c r="P35" s="21">
        <v>2022</v>
      </c>
    </row>
    <row r="36" spans="1:17" ht="29" x14ac:dyDescent="0.35">
      <c r="A36" s="11" t="s">
        <v>37</v>
      </c>
      <c r="B36" s="20" t="s">
        <v>878</v>
      </c>
      <c r="D36" s="20" t="s">
        <v>810</v>
      </c>
      <c r="E36" s="20" t="s">
        <v>811</v>
      </c>
      <c r="F36" s="10" t="s">
        <v>819</v>
      </c>
      <c r="G36" s="20" t="s">
        <v>879</v>
      </c>
      <c r="H36" s="20" t="s">
        <v>880</v>
      </c>
      <c r="I36" s="21">
        <v>18000</v>
      </c>
      <c r="J36" s="21">
        <v>11</v>
      </c>
      <c r="K36" s="21">
        <v>10000</v>
      </c>
      <c r="L36" s="21">
        <v>70</v>
      </c>
      <c r="M36" s="21">
        <v>1000</v>
      </c>
      <c r="N36" s="21">
        <v>40000</v>
      </c>
      <c r="O36" s="21">
        <v>65</v>
      </c>
      <c r="P36" s="21">
        <v>1984</v>
      </c>
    </row>
    <row r="37" spans="1:17" ht="29" x14ac:dyDescent="0.35">
      <c r="A37" s="11" t="s">
        <v>37</v>
      </c>
      <c r="B37" s="20" t="s">
        <v>881</v>
      </c>
      <c r="D37" s="20" t="s">
        <v>816</v>
      </c>
      <c r="E37" s="20" t="s">
        <v>811</v>
      </c>
      <c r="F37" s="10" t="s">
        <v>819</v>
      </c>
      <c r="G37" s="20" t="s">
        <v>882</v>
      </c>
      <c r="H37" s="20" t="s">
        <v>883</v>
      </c>
      <c r="I37" s="21">
        <v>12000</v>
      </c>
      <c r="J37" s="21">
        <v>35</v>
      </c>
      <c r="K37" s="21">
        <v>58860</v>
      </c>
      <c r="L37" s="21">
        <v>50</v>
      </c>
      <c r="M37" s="21">
        <v>3000</v>
      </c>
      <c r="N37" s="20" t="s">
        <v>884</v>
      </c>
      <c r="O37" s="21">
        <v>50</v>
      </c>
      <c r="P37" s="21">
        <v>2022</v>
      </c>
    </row>
    <row r="38" spans="1:17" ht="29" x14ac:dyDescent="0.35">
      <c r="A38" s="11" t="s">
        <v>37</v>
      </c>
      <c r="B38" s="20" t="s">
        <v>885</v>
      </c>
      <c r="D38" s="20" t="s">
        <v>816</v>
      </c>
      <c r="E38" s="20" t="s">
        <v>886</v>
      </c>
      <c r="F38" s="10" t="s">
        <v>819</v>
      </c>
      <c r="G38" s="20" t="s">
        <v>882</v>
      </c>
      <c r="H38" s="20" t="s">
        <v>883</v>
      </c>
      <c r="I38" s="21">
        <v>6000</v>
      </c>
      <c r="J38" s="21">
        <v>21</v>
      </c>
      <c r="K38" s="21">
        <v>4000</v>
      </c>
      <c r="L38" s="21">
        <v>75</v>
      </c>
      <c r="M38" s="21">
        <v>1700</v>
      </c>
      <c r="N38" s="21">
        <v>105000</v>
      </c>
      <c r="O38" s="21">
        <v>50</v>
      </c>
      <c r="P38" s="21">
        <v>2022</v>
      </c>
    </row>
    <row r="39" spans="1:17" x14ac:dyDescent="0.35">
      <c r="A39" s="11" t="s">
        <v>37</v>
      </c>
      <c r="B39" s="20" t="s">
        <v>887</v>
      </c>
      <c r="D39" s="20" t="s">
        <v>816</v>
      </c>
      <c r="E39" s="20" t="s">
        <v>811</v>
      </c>
      <c r="F39" s="10" t="s">
        <v>819</v>
      </c>
      <c r="G39" s="20" t="s">
        <v>876</v>
      </c>
      <c r="H39" s="20" t="s">
        <v>883</v>
      </c>
      <c r="I39" s="21">
        <v>12000</v>
      </c>
      <c r="J39" s="21">
        <v>16</v>
      </c>
      <c r="K39" s="21">
        <v>13000</v>
      </c>
      <c r="L39" s="21">
        <v>80</v>
      </c>
      <c r="M39" s="21">
        <v>1000</v>
      </c>
      <c r="N39" s="21">
        <v>40000</v>
      </c>
      <c r="O39" s="21">
        <v>70</v>
      </c>
      <c r="P39" s="21">
        <v>2022</v>
      </c>
    </row>
    <row r="40" spans="1:17" x14ac:dyDescent="0.35">
      <c r="A40" s="11" t="s">
        <v>37</v>
      </c>
      <c r="B40" s="20" t="s">
        <v>888</v>
      </c>
      <c r="D40" s="20" t="s">
        <v>816</v>
      </c>
      <c r="E40" s="20" t="s">
        <v>811</v>
      </c>
      <c r="F40" s="10" t="s">
        <v>819</v>
      </c>
      <c r="G40" s="20" t="s">
        <v>889</v>
      </c>
      <c r="H40" s="20" t="s">
        <v>883</v>
      </c>
      <c r="I40" s="21">
        <v>9300</v>
      </c>
      <c r="J40" s="21">
        <v>8</v>
      </c>
      <c r="K40" s="21">
        <v>1700</v>
      </c>
      <c r="L40" s="21">
        <v>70</v>
      </c>
      <c r="M40" s="21">
        <v>3000</v>
      </c>
      <c r="N40" s="21">
        <v>150000</v>
      </c>
      <c r="O40" s="21">
        <v>60</v>
      </c>
      <c r="P40" s="21">
        <v>2022</v>
      </c>
    </row>
    <row r="41" spans="1:17" x14ac:dyDescent="0.35">
      <c r="A41" s="11" t="s">
        <v>37</v>
      </c>
      <c r="B41" s="20" t="s">
        <v>890</v>
      </c>
      <c r="D41" s="20" t="s">
        <v>816</v>
      </c>
      <c r="E41" s="20" t="s">
        <v>886</v>
      </c>
      <c r="F41" s="10" t="s">
        <v>812</v>
      </c>
      <c r="G41" s="20" t="s">
        <v>889</v>
      </c>
      <c r="H41" s="20" t="s">
        <v>877</v>
      </c>
      <c r="I41" s="21">
        <v>8000</v>
      </c>
      <c r="J41" s="21">
        <v>5</v>
      </c>
      <c r="K41" s="21">
        <v>1500</v>
      </c>
      <c r="L41" s="21">
        <v>75</v>
      </c>
      <c r="M41" s="21">
        <v>2000</v>
      </c>
      <c r="N41" s="21">
        <v>100000</v>
      </c>
      <c r="O41" s="21">
        <v>80</v>
      </c>
      <c r="P41" s="21">
        <v>2022</v>
      </c>
    </row>
    <row r="42" spans="1:17" x14ac:dyDescent="0.35">
      <c r="A42" s="11" t="s">
        <v>37</v>
      </c>
      <c r="B42" s="20" t="s">
        <v>891</v>
      </c>
      <c r="D42" s="20" t="s">
        <v>816</v>
      </c>
      <c r="E42" s="20" t="s">
        <v>886</v>
      </c>
      <c r="F42" s="10" t="s">
        <v>812</v>
      </c>
      <c r="G42" s="20" t="s">
        <v>889</v>
      </c>
      <c r="H42" s="20" t="s">
        <v>892</v>
      </c>
      <c r="I42" s="21">
        <v>8000</v>
      </c>
      <c r="J42" s="21">
        <v>5</v>
      </c>
      <c r="K42" s="21">
        <v>1500</v>
      </c>
      <c r="L42" s="21">
        <v>60</v>
      </c>
      <c r="M42" s="21">
        <v>2000</v>
      </c>
      <c r="N42" s="21">
        <v>100000</v>
      </c>
      <c r="O42" s="21">
        <v>60</v>
      </c>
      <c r="P42" s="21">
        <v>2022</v>
      </c>
    </row>
    <row r="43" spans="1:17" ht="29" x14ac:dyDescent="0.35">
      <c r="A43" s="11" t="s">
        <v>42</v>
      </c>
      <c r="B43" s="11" t="s">
        <v>893</v>
      </c>
      <c r="D43" s="11" t="s">
        <v>861</v>
      </c>
      <c r="E43" s="11" t="s">
        <v>811</v>
      </c>
      <c r="F43" s="10" t="s">
        <v>819</v>
      </c>
      <c r="G43" s="11" t="s">
        <v>894</v>
      </c>
      <c r="H43" s="12" t="s">
        <v>895</v>
      </c>
      <c r="I43" s="11">
        <v>18000</v>
      </c>
      <c r="J43" s="11">
        <v>13</v>
      </c>
      <c r="K43" s="11"/>
      <c r="L43" s="18">
        <v>0.9</v>
      </c>
      <c r="M43" s="11">
        <v>1500</v>
      </c>
      <c r="N43" s="11">
        <v>54000</v>
      </c>
      <c r="O43" s="18">
        <v>0.9</v>
      </c>
      <c r="P43" s="11">
        <v>2003</v>
      </c>
      <c r="Q43" s="10" t="s">
        <v>896</v>
      </c>
    </row>
    <row r="44" spans="1:17" x14ac:dyDescent="0.35">
      <c r="A44" s="11" t="s">
        <v>42</v>
      </c>
      <c r="B44" s="11" t="s">
        <v>897</v>
      </c>
      <c r="D44" s="11" t="s">
        <v>861</v>
      </c>
      <c r="E44" s="11" t="s">
        <v>811</v>
      </c>
      <c r="F44" s="10" t="s">
        <v>819</v>
      </c>
      <c r="G44" s="11" t="s">
        <v>898</v>
      </c>
      <c r="H44" s="11" t="s">
        <v>899</v>
      </c>
      <c r="I44" s="11">
        <v>24000</v>
      </c>
      <c r="J44" s="11">
        <v>8.5</v>
      </c>
      <c r="K44" s="11">
        <v>6500</v>
      </c>
      <c r="L44" s="18">
        <v>0.85</v>
      </c>
      <c r="M44" s="11">
        <v>1000</v>
      </c>
      <c r="N44" s="11">
        <v>18000</v>
      </c>
      <c r="O44" s="18">
        <v>0.6</v>
      </c>
      <c r="P44" s="11">
        <v>2008</v>
      </c>
      <c r="Q44" s="10" t="s">
        <v>896</v>
      </c>
    </row>
    <row r="45" spans="1:17" ht="29" x14ac:dyDescent="0.35">
      <c r="A45" s="11" t="s">
        <v>42</v>
      </c>
      <c r="B45" s="11" t="s">
        <v>900</v>
      </c>
      <c r="D45" s="11" t="s">
        <v>861</v>
      </c>
      <c r="E45" s="11" t="s">
        <v>811</v>
      </c>
      <c r="F45" s="10" t="s">
        <v>819</v>
      </c>
      <c r="G45" s="11" t="s">
        <v>898</v>
      </c>
      <c r="H45" s="12" t="s">
        <v>901</v>
      </c>
      <c r="I45" s="11">
        <v>36000</v>
      </c>
      <c r="J45" s="11">
        <v>8</v>
      </c>
      <c r="K45" s="11"/>
      <c r="L45" s="18">
        <v>0.85</v>
      </c>
      <c r="M45" s="11">
        <v>1500</v>
      </c>
      <c r="N45" s="11">
        <v>54000</v>
      </c>
      <c r="O45" s="18">
        <v>0.8</v>
      </c>
      <c r="P45" s="11" t="s">
        <v>902</v>
      </c>
      <c r="Q45" s="10" t="s">
        <v>896</v>
      </c>
    </row>
    <row r="46" spans="1:17" ht="29" x14ac:dyDescent="0.35">
      <c r="A46" s="11" t="s">
        <v>42</v>
      </c>
      <c r="B46" s="11" t="s">
        <v>903</v>
      </c>
      <c r="D46" s="11" t="s">
        <v>861</v>
      </c>
      <c r="E46" s="11" t="s">
        <v>811</v>
      </c>
      <c r="F46" s="10" t="s">
        <v>812</v>
      </c>
      <c r="G46" s="11" t="s">
        <v>904</v>
      </c>
      <c r="H46" s="12" t="s">
        <v>905</v>
      </c>
      <c r="I46" s="11">
        <v>5000</v>
      </c>
      <c r="J46" s="11">
        <v>4.5</v>
      </c>
      <c r="K46" s="11"/>
      <c r="L46" s="11"/>
      <c r="M46" s="11">
        <v>550</v>
      </c>
      <c r="N46" s="11">
        <v>33333</v>
      </c>
      <c r="O46" s="11" t="s">
        <v>906</v>
      </c>
      <c r="P46" s="11" t="s">
        <v>907</v>
      </c>
      <c r="Q46" s="10" t="s">
        <v>896</v>
      </c>
    </row>
    <row r="47" spans="1:17" x14ac:dyDescent="0.35">
      <c r="A47" s="11" t="s">
        <v>42</v>
      </c>
      <c r="B47" s="11" t="s">
        <v>908</v>
      </c>
      <c r="D47" s="11" t="s">
        <v>810</v>
      </c>
      <c r="E47" s="11" t="s">
        <v>909</v>
      </c>
      <c r="F47" s="10" t="s">
        <v>819</v>
      </c>
      <c r="G47" s="11"/>
      <c r="H47" s="11" t="s">
        <v>910</v>
      </c>
      <c r="I47" s="11">
        <v>3000</v>
      </c>
      <c r="J47" s="11"/>
      <c r="K47" s="11" t="s">
        <v>911</v>
      </c>
      <c r="L47" s="11"/>
      <c r="M47" s="11"/>
      <c r="N47" s="11"/>
      <c r="O47" s="18">
        <v>0.8</v>
      </c>
      <c r="P47" s="11"/>
      <c r="Q47" s="10" t="s">
        <v>896</v>
      </c>
    </row>
    <row r="48" spans="1:17" x14ac:dyDescent="0.35">
      <c r="A48" s="11" t="s">
        <v>42</v>
      </c>
      <c r="B48" s="11" t="s">
        <v>912</v>
      </c>
      <c r="D48" s="11" t="s">
        <v>861</v>
      </c>
      <c r="E48" s="11" t="s">
        <v>811</v>
      </c>
      <c r="F48" s="14" t="s">
        <v>823</v>
      </c>
      <c r="G48" s="11" t="s">
        <v>913</v>
      </c>
      <c r="H48" s="11" t="s">
        <v>914</v>
      </c>
      <c r="I48" s="11">
        <v>10000</v>
      </c>
      <c r="J48" s="11">
        <v>12</v>
      </c>
      <c r="K48" s="11">
        <v>5200</v>
      </c>
      <c r="L48" s="18">
        <v>0.9</v>
      </c>
      <c r="M48" s="11">
        <v>190</v>
      </c>
      <c r="N48" s="11">
        <v>290</v>
      </c>
      <c r="O48" s="18">
        <v>0.25</v>
      </c>
      <c r="P48" s="11" t="s">
        <v>915</v>
      </c>
      <c r="Q48" s="10" t="s">
        <v>896</v>
      </c>
    </row>
    <row r="49" spans="1:17" x14ac:dyDescent="0.35">
      <c r="A49" s="11" t="s">
        <v>44</v>
      </c>
      <c r="B49" s="11" t="s">
        <v>916</v>
      </c>
      <c r="D49" s="11" t="s">
        <v>861</v>
      </c>
      <c r="E49" s="11" t="s">
        <v>811</v>
      </c>
      <c r="F49" s="14" t="s">
        <v>819</v>
      </c>
      <c r="G49" s="11" t="s">
        <v>917</v>
      </c>
      <c r="H49" s="11" t="s">
        <v>22</v>
      </c>
      <c r="I49" s="22">
        <v>36658</v>
      </c>
      <c r="L49" s="18">
        <v>0.9</v>
      </c>
      <c r="M49" s="12"/>
      <c r="N49" s="12"/>
      <c r="O49" s="12"/>
      <c r="P49" s="12" t="s">
        <v>817</v>
      </c>
      <c r="Q49" s="10">
        <v>42500</v>
      </c>
    </row>
    <row r="50" spans="1:17" x14ac:dyDescent="0.35">
      <c r="A50" s="11" t="s">
        <v>44</v>
      </c>
      <c r="B50" s="11" t="s">
        <v>918</v>
      </c>
      <c r="D50" s="11" t="s">
        <v>861</v>
      </c>
      <c r="E50" s="11" t="s">
        <v>811</v>
      </c>
      <c r="F50" s="14" t="s">
        <v>819</v>
      </c>
      <c r="I50" s="22">
        <v>20521</v>
      </c>
      <c r="L50" s="18">
        <v>0.9</v>
      </c>
      <c r="M50" s="12"/>
      <c r="N50" s="12"/>
      <c r="O50" s="12"/>
      <c r="P50" s="12" t="s">
        <v>817</v>
      </c>
      <c r="Q50" s="10">
        <v>42500</v>
      </c>
    </row>
    <row r="51" spans="1:17" x14ac:dyDescent="0.35">
      <c r="A51" s="11" t="s">
        <v>44</v>
      </c>
      <c r="B51" s="11" t="s">
        <v>919</v>
      </c>
      <c r="D51" s="11" t="s">
        <v>861</v>
      </c>
      <c r="E51" s="11" t="s">
        <v>811</v>
      </c>
      <c r="F51" s="14" t="s">
        <v>812</v>
      </c>
      <c r="I51" s="22">
        <v>6200</v>
      </c>
      <c r="L51" s="18">
        <v>0.85</v>
      </c>
      <c r="P51" s="12" t="s">
        <v>817</v>
      </c>
      <c r="Q51" s="10">
        <v>42500</v>
      </c>
    </row>
    <row r="52" spans="1:17" x14ac:dyDescent="0.35">
      <c r="A52" s="11" t="s">
        <v>44</v>
      </c>
      <c r="B52" s="11" t="s">
        <v>920</v>
      </c>
      <c r="D52" s="11" t="s">
        <v>861</v>
      </c>
      <c r="E52" s="11" t="s">
        <v>811</v>
      </c>
      <c r="F52" s="14" t="s">
        <v>819</v>
      </c>
      <c r="I52" s="22">
        <v>15000</v>
      </c>
      <c r="L52" s="18">
        <v>0.9</v>
      </c>
      <c r="P52" s="10">
        <v>2018</v>
      </c>
      <c r="Q52" s="10">
        <v>42500</v>
      </c>
    </row>
    <row r="53" spans="1:17" x14ac:dyDescent="0.35">
      <c r="A53" s="11" t="s">
        <v>44</v>
      </c>
      <c r="B53" s="11" t="s">
        <v>921</v>
      </c>
      <c r="D53" s="11" t="s">
        <v>861</v>
      </c>
      <c r="E53" s="11" t="s">
        <v>811</v>
      </c>
      <c r="F53" s="14" t="s">
        <v>812</v>
      </c>
      <c r="I53" s="22">
        <v>12000</v>
      </c>
      <c r="L53" s="18">
        <v>0.85</v>
      </c>
      <c r="P53" s="10">
        <v>2018</v>
      </c>
      <c r="Q53" s="10">
        <v>42500</v>
      </c>
    </row>
    <row r="54" spans="1:17" x14ac:dyDescent="0.35">
      <c r="A54" s="11" t="s">
        <v>44</v>
      </c>
      <c r="B54" s="11" t="s">
        <v>922</v>
      </c>
      <c r="D54" s="11" t="s">
        <v>810</v>
      </c>
      <c r="E54" s="11" t="s">
        <v>909</v>
      </c>
      <c r="F54" s="14" t="s">
        <v>819</v>
      </c>
      <c r="H54" s="11" t="s">
        <v>923</v>
      </c>
      <c r="I54" s="22"/>
      <c r="L54" s="18"/>
      <c r="Q54" s="10">
        <v>42500</v>
      </c>
    </row>
    <row r="55" spans="1:17" x14ac:dyDescent="0.35">
      <c r="A55" s="11" t="s">
        <v>44</v>
      </c>
      <c r="B55" s="11" t="s">
        <v>924</v>
      </c>
      <c r="D55" s="11" t="s">
        <v>810</v>
      </c>
      <c r="E55" s="11" t="s">
        <v>811</v>
      </c>
      <c r="F55" s="14" t="s">
        <v>819</v>
      </c>
      <c r="H55" s="11" t="s">
        <v>925</v>
      </c>
      <c r="I55" s="22"/>
      <c r="L55" s="18"/>
      <c r="Q55" s="10">
        <v>42500</v>
      </c>
    </row>
    <row r="56" spans="1:17" x14ac:dyDescent="0.35">
      <c r="A56" s="11" t="s">
        <v>44</v>
      </c>
      <c r="B56" s="11" t="s">
        <v>926</v>
      </c>
      <c r="D56" s="11" t="s">
        <v>861</v>
      </c>
      <c r="E56" s="11" t="s">
        <v>811</v>
      </c>
      <c r="F56" s="14" t="s">
        <v>823</v>
      </c>
      <c r="I56" s="22">
        <v>2300</v>
      </c>
      <c r="L56" s="18">
        <v>0.98</v>
      </c>
      <c r="P56" s="12" t="s">
        <v>817</v>
      </c>
      <c r="Q56" s="10">
        <v>42500</v>
      </c>
    </row>
    <row r="57" spans="1:17" x14ac:dyDescent="0.35">
      <c r="A57" s="11" t="s">
        <v>44</v>
      </c>
      <c r="B57" s="11" t="s">
        <v>927</v>
      </c>
      <c r="D57" s="11" t="s">
        <v>810</v>
      </c>
      <c r="E57" s="11" t="s">
        <v>811</v>
      </c>
      <c r="F57" s="14" t="s">
        <v>823</v>
      </c>
      <c r="H57" s="11" t="s">
        <v>928</v>
      </c>
      <c r="I57" s="22"/>
      <c r="L57" s="18">
        <v>0.9</v>
      </c>
      <c r="Q57" s="10">
        <v>42500</v>
      </c>
    </row>
    <row r="58" spans="1:17" x14ac:dyDescent="0.35">
      <c r="A58" s="11" t="s">
        <v>57</v>
      </c>
      <c r="B58" s="11" t="s">
        <v>929</v>
      </c>
      <c r="D58" s="10" t="s">
        <v>816</v>
      </c>
      <c r="E58" s="10" t="s">
        <v>811</v>
      </c>
      <c r="F58" s="10" t="s">
        <v>819</v>
      </c>
      <c r="G58" s="10" t="s">
        <v>930</v>
      </c>
      <c r="H58" s="11" t="s">
        <v>931</v>
      </c>
      <c r="I58" s="10">
        <v>18450</v>
      </c>
      <c r="J58" s="10">
        <v>7</v>
      </c>
      <c r="L58" s="19">
        <v>0.8</v>
      </c>
      <c r="P58" s="10">
        <v>2004</v>
      </c>
      <c r="Q58" s="10" t="s">
        <v>932</v>
      </c>
    </row>
    <row r="59" spans="1:17" x14ac:dyDescent="0.35">
      <c r="A59" s="11" t="s">
        <v>57</v>
      </c>
      <c r="B59" s="11" t="s">
        <v>933</v>
      </c>
      <c r="D59" s="10" t="s">
        <v>816</v>
      </c>
      <c r="E59" s="10" t="s">
        <v>811</v>
      </c>
      <c r="F59" s="10" t="s">
        <v>819</v>
      </c>
      <c r="G59" s="10" t="s">
        <v>930</v>
      </c>
      <c r="H59" s="11" t="s">
        <v>934</v>
      </c>
      <c r="I59" s="10">
        <v>11490</v>
      </c>
      <c r="J59" s="10">
        <v>5</v>
      </c>
      <c r="L59" s="19">
        <v>0.8</v>
      </c>
      <c r="P59" s="10">
        <v>2004</v>
      </c>
    </row>
    <row r="60" spans="1:17" x14ac:dyDescent="0.35">
      <c r="A60" s="11" t="s">
        <v>57</v>
      </c>
      <c r="B60" s="11" t="s">
        <v>935</v>
      </c>
      <c r="D60" s="10" t="s">
        <v>816</v>
      </c>
      <c r="E60" s="10" t="s">
        <v>811</v>
      </c>
      <c r="F60" s="10" t="s">
        <v>812</v>
      </c>
      <c r="G60" s="10" t="s">
        <v>889</v>
      </c>
      <c r="H60" s="11" t="s">
        <v>936</v>
      </c>
      <c r="I60" s="10">
        <v>4400</v>
      </c>
      <c r="J60" s="10" t="s">
        <v>937</v>
      </c>
      <c r="L60" s="19">
        <v>1</v>
      </c>
      <c r="P60" s="10">
        <v>2010</v>
      </c>
    </row>
    <row r="61" spans="1:17" x14ac:dyDescent="0.35">
      <c r="A61" s="11" t="s">
        <v>57</v>
      </c>
      <c r="B61" s="11" t="s">
        <v>938</v>
      </c>
      <c r="D61" s="10" t="s">
        <v>816</v>
      </c>
      <c r="E61" s="10" t="s">
        <v>811</v>
      </c>
      <c r="F61" s="10" t="s">
        <v>812</v>
      </c>
      <c r="G61" s="10" t="s">
        <v>889</v>
      </c>
      <c r="H61" s="11" t="s">
        <v>877</v>
      </c>
      <c r="I61" s="10">
        <v>11590</v>
      </c>
      <c r="J61" s="10" t="s">
        <v>937</v>
      </c>
      <c r="L61" s="19">
        <v>1</v>
      </c>
      <c r="P61" s="10">
        <v>2008</v>
      </c>
    </row>
    <row r="62" spans="1:17" x14ac:dyDescent="0.35">
      <c r="A62" s="11" t="s">
        <v>57</v>
      </c>
      <c r="B62" s="11" t="s">
        <v>939</v>
      </c>
      <c r="D62" s="10" t="s">
        <v>816</v>
      </c>
      <c r="E62" s="10" t="s">
        <v>811</v>
      </c>
      <c r="F62" s="10" t="s">
        <v>819</v>
      </c>
      <c r="G62" s="10" t="s">
        <v>940</v>
      </c>
      <c r="H62" s="11" t="s">
        <v>941</v>
      </c>
      <c r="I62" s="10">
        <v>50000</v>
      </c>
      <c r="J62" s="10">
        <v>10</v>
      </c>
      <c r="L62" s="19">
        <v>0.8</v>
      </c>
      <c r="P62" s="10">
        <v>2000</v>
      </c>
    </row>
    <row r="63" spans="1:17" x14ac:dyDescent="0.35">
      <c r="A63" s="11" t="s">
        <v>57</v>
      </c>
      <c r="B63" s="11" t="s">
        <v>942</v>
      </c>
      <c r="D63" s="10" t="s">
        <v>816</v>
      </c>
      <c r="E63" s="10" t="s">
        <v>811</v>
      </c>
      <c r="F63" s="10" t="s">
        <v>819</v>
      </c>
      <c r="G63" s="10" t="s">
        <v>882</v>
      </c>
      <c r="H63" s="11" t="s">
        <v>941</v>
      </c>
      <c r="I63" s="10">
        <v>10000</v>
      </c>
      <c r="J63" s="10">
        <v>18</v>
      </c>
      <c r="L63" s="19">
        <v>0.8</v>
      </c>
      <c r="P63" s="10">
        <v>2015</v>
      </c>
    </row>
    <row r="64" spans="1:17" x14ac:dyDescent="0.35">
      <c r="A64" s="11" t="s">
        <v>57</v>
      </c>
      <c r="B64" s="11" t="s">
        <v>943</v>
      </c>
      <c r="D64" s="10" t="s">
        <v>816</v>
      </c>
      <c r="E64" s="10" t="s">
        <v>811</v>
      </c>
      <c r="F64" s="10" t="s">
        <v>819</v>
      </c>
      <c r="G64" s="10" t="s">
        <v>889</v>
      </c>
      <c r="H64" s="11" t="s">
        <v>944</v>
      </c>
      <c r="I64" s="10">
        <v>3610</v>
      </c>
      <c r="J64" s="10">
        <v>5</v>
      </c>
      <c r="L64" s="19">
        <v>0.5</v>
      </c>
    </row>
    <row r="65" spans="1:17" x14ac:dyDescent="0.35">
      <c r="A65" s="11" t="s">
        <v>57</v>
      </c>
      <c r="B65" s="11" t="s">
        <v>945</v>
      </c>
      <c r="D65" s="10" t="s">
        <v>810</v>
      </c>
      <c r="E65" s="10" t="s">
        <v>886</v>
      </c>
      <c r="F65" s="10" t="s">
        <v>819</v>
      </c>
      <c r="G65" s="10" t="s">
        <v>889</v>
      </c>
      <c r="H65" s="11" t="s">
        <v>946</v>
      </c>
      <c r="I65" s="10">
        <v>1500</v>
      </c>
      <c r="L65" s="19"/>
    </row>
    <row r="66" spans="1:17" x14ac:dyDescent="0.35">
      <c r="A66" s="11" t="s">
        <v>57</v>
      </c>
      <c r="B66" s="11" t="s">
        <v>947</v>
      </c>
      <c r="D66" s="10" t="s">
        <v>810</v>
      </c>
      <c r="E66" s="10" t="s">
        <v>886</v>
      </c>
      <c r="F66" s="10" t="s">
        <v>819</v>
      </c>
      <c r="G66" s="10" t="s">
        <v>876</v>
      </c>
      <c r="H66" s="11" t="s">
        <v>946</v>
      </c>
      <c r="I66" s="10">
        <v>1500</v>
      </c>
      <c r="L66" s="19"/>
    </row>
    <row r="67" spans="1:17" x14ac:dyDescent="0.35">
      <c r="A67" s="11" t="s">
        <v>57</v>
      </c>
      <c r="B67" s="11" t="s">
        <v>948</v>
      </c>
      <c r="D67" s="10" t="s">
        <v>816</v>
      </c>
      <c r="E67" s="10" t="s">
        <v>811</v>
      </c>
      <c r="F67" s="14" t="s">
        <v>823</v>
      </c>
      <c r="G67" s="10" t="s">
        <v>930</v>
      </c>
      <c r="H67" s="11" t="s">
        <v>877</v>
      </c>
      <c r="I67" s="10">
        <v>4420</v>
      </c>
      <c r="J67" s="10">
        <v>5</v>
      </c>
      <c r="L67" s="19">
        <v>0.9</v>
      </c>
      <c r="P67" s="10">
        <v>2010</v>
      </c>
    </row>
    <row r="68" spans="1:17" x14ac:dyDescent="0.35">
      <c r="A68" s="11" t="s">
        <v>57</v>
      </c>
      <c r="B68" s="11" t="s">
        <v>949</v>
      </c>
      <c r="D68" s="10" t="s">
        <v>816</v>
      </c>
      <c r="E68" s="10" t="s">
        <v>811</v>
      </c>
      <c r="F68" s="10" t="s">
        <v>819</v>
      </c>
      <c r="G68" s="10" t="s">
        <v>882</v>
      </c>
      <c r="H68" s="11" t="s">
        <v>941</v>
      </c>
      <c r="I68" s="10">
        <v>10000</v>
      </c>
      <c r="J68" s="10">
        <v>18</v>
      </c>
    </row>
    <row r="69" spans="1:17" x14ac:dyDescent="0.35">
      <c r="A69" s="11" t="s">
        <v>57</v>
      </c>
      <c r="B69" s="11" t="s">
        <v>950</v>
      </c>
      <c r="D69" s="10" t="s">
        <v>810</v>
      </c>
      <c r="E69" s="10" t="s">
        <v>886</v>
      </c>
      <c r="F69" s="14" t="s">
        <v>823</v>
      </c>
      <c r="G69" s="10" t="s">
        <v>889</v>
      </c>
      <c r="H69" s="11" t="s">
        <v>877</v>
      </c>
      <c r="I69" s="10">
        <v>250</v>
      </c>
      <c r="L69" s="19"/>
    </row>
    <row r="70" spans="1:17" x14ac:dyDescent="0.35">
      <c r="A70" s="11" t="s">
        <v>66</v>
      </c>
      <c r="B70" s="11" t="s">
        <v>951</v>
      </c>
      <c r="D70" s="10" t="s">
        <v>816</v>
      </c>
      <c r="E70" s="10" t="s">
        <v>811</v>
      </c>
      <c r="F70" s="10" t="s">
        <v>819</v>
      </c>
      <c r="G70" s="10" t="s">
        <v>824</v>
      </c>
      <c r="H70" s="11" t="s">
        <v>952</v>
      </c>
      <c r="I70" s="10">
        <v>36200</v>
      </c>
      <c r="K70" s="10">
        <v>16000</v>
      </c>
      <c r="L70" s="19">
        <v>0.8</v>
      </c>
      <c r="M70" s="10">
        <v>2200</v>
      </c>
      <c r="N70" s="10">
        <v>35000</v>
      </c>
      <c r="O70" s="19">
        <v>0.53</v>
      </c>
      <c r="P70" s="10">
        <v>1993</v>
      </c>
    </row>
    <row r="71" spans="1:17" x14ac:dyDescent="0.35">
      <c r="A71" s="11" t="s">
        <v>66</v>
      </c>
      <c r="B71" s="11" t="s">
        <v>953</v>
      </c>
      <c r="D71" s="10" t="s">
        <v>816</v>
      </c>
      <c r="E71" s="10" t="s">
        <v>886</v>
      </c>
      <c r="F71" s="10" t="s">
        <v>819</v>
      </c>
      <c r="G71" s="10" t="s">
        <v>954</v>
      </c>
      <c r="H71" s="11" t="s">
        <v>952</v>
      </c>
      <c r="I71" s="10">
        <v>10200</v>
      </c>
      <c r="J71" s="10">
        <v>12.5</v>
      </c>
      <c r="K71" s="10">
        <v>5400</v>
      </c>
      <c r="L71" s="19">
        <v>0</v>
      </c>
      <c r="M71" s="10">
        <v>0</v>
      </c>
      <c r="N71" s="10">
        <v>0</v>
      </c>
      <c r="O71" s="19">
        <v>0</v>
      </c>
      <c r="P71" s="10">
        <v>1997</v>
      </c>
    </row>
    <row r="72" spans="1:17" x14ac:dyDescent="0.35">
      <c r="A72" s="11" t="s">
        <v>66</v>
      </c>
      <c r="B72" s="11" t="s">
        <v>955</v>
      </c>
      <c r="D72" s="10" t="s">
        <v>816</v>
      </c>
      <c r="E72" s="10" t="s">
        <v>811</v>
      </c>
      <c r="F72" s="10" t="s">
        <v>819</v>
      </c>
      <c r="G72" s="10" t="s">
        <v>956</v>
      </c>
      <c r="H72" s="11" t="s">
        <v>957</v>
      </c>
      <c r="I72" s="10">
        <v>32000</v>
      </c>
      <c r="J72" s="10">
        <v>32</v>
      </c>
      <c r="K72" s="10">
        <v>38600</v>
      </c>
      <c r="L72" s="19">
        <v>0.85</v>
      </c>
      <c r="M72" s="10">
        <v>3200</v>
      </c>
      <c r="N72" s="10">
        <v>120000</v>
      </c>
      <c r="O72" s="19">
        <v>1</v>
      </c>
      <c r="P72" s="10">
        <v>2013</v>
      </c>
    </row>
    <row r="73" spans="1:17" x14ac:dyDescent="0.35">
      <c r="A73" s="11" t="s">
        <v>66</v>
      </c>
      <c r="B73" s="11" t="s">
        <v>958</v>
      </c>
      <c r="D73" s="10" t="s">
        <v>816</v>
      </c>
      <c r="E73" s="10" t="s">
        <v>811</v>
      </c>
      <c r="F73" s="10" t="s">
        <v>812</v>
      </c>
      <c r="G73" s="10" t="s">
        <v>956</v>
      </c>
      <c r="H73" s="11">
        <v>5</v>
      </c>
      <c r="I73" s="10">
        <v>27000</v>
      </c>
      <c r="J73" s="10">
        <v>17.5</v>
      </c>
      <c r="K73" s="10">
        <v>0</v>
      </c>
      <c r="L73" s="19"/>
      <c r="M73" s="10">
        <v>3500</v>
      </c>
      <c r="N73" s="10">
        <v>150000</v>
      </c>
      <c r="O73" s="19">
        <v>0.71</v>
      </c>
      <c r="P73" s="10">
        <v>2022</v>
      </c>
    </row>
    <row r="74" spans="1:17" x14ac:dyDescent="0.35">
      <c r="A74" s="11" t="s">
        <v>66</v>
      </c>
      <c r="B74" s="11" t="s">
        <v>959</v>
      </c>
      <c r="D74" s="10" t="s">
        <v>816</v>
      </c>
      <c r="E74" s="10" t="s">
        <v>811</v>
      </c>
      <c r="F74" s="14" t="s">
        <v>823</v>
      </c>
      <c r="G74" s="10" t="s">
        <v>954</v>
      </c>
      <c r="H74" s="11">
        <v>5</v>
      </c>
      <c r="I74" s="10">
        <v>27050</v>
      </c>
      <c r="J74" s="10">
        <v>14</v>
      </c>
      <c r="K74" s="10">
        <v>3900</v>
      </c>
      <c r="L74" s="19">
        <v>0.83</v>
      </c>
      <c r="M74" s="10">
        <v>1600</v>
      </c>
      <c r="N74" s="10">
        <v>50000</v>
      </c>
      <c r="O74" s="19">
        <v>1</v>
      </c>
      <c r="P74" s="10" t="s">
        <v>960</v>
      </c>
    </row>
    <row r="75" spans="1:17" x14ac:dyDescent="0.35">
      <c r="A75" s="11" t="s">
        <v>80</v>
      </c>
      <c r="B75" s="11" t="s">
        <v>961</v>
      </c>
      <c r="D75" s="10" t="s">
        <v>816</v>
      </c>
      <c r="E75" s="10" t="s">
        <v>811</v>
      </c>
      <c r="F75" s="10" t="s">
        <v>819</v>
      </c>
      <c r="G75" s="10" t="s">
        <v>876</v>
      </c>
      <c r="H75" s="11" t="s">
        <v>962</v>
      </c>
      <c r="I75" s="10">
        <v>18000</v>
      </c>
      <c r="J75" s="10">
        <v>10</v>
      </c>
      <c r="K75" s="10">
        <v>6000</v>
      </c>
      <c r="L75" s="19">
        <v>0.85</v>
      </c>
      <c r="M75" s="10">
        <v>600</v>
      </c>
      <c r="N75" s="10">
        <v>25000</v>
      </c>
      <c r="O75" s="19">
        <v>1</v>
      </c>
      <c r="P75" s="10">
        <v>2009</v>
      </c>
      <c r="Q75" s="10" t="s">
        <v>963</v>
      </c>
    </row>
    <row r="76" spans="1:17" x14ac:dyDescent="0.35">
      <c r="A76" s="11" t="s">
        <v>80</v>
      </c>
      <c r="B76" s="11" t="s">
        <v>964</v>
      </c>
      <c r="D76" s="10" t="s">
        <v>816</v>
      </c>
      <c r="E76" s="10" t="s">
        <v>811</v>
      </c>
      <c r="F76" s="10" t="s">
        <v>819</v>
      </c>
      <c r="G76" s="10" t="s">
        <v>889</v>
      </c>
      <c r="H76" s="11" t="s">
        <v>962</v>
      </c>
      <c r="I76" s="10">
        <v>12000</v>
      </c>
      <c r="J76" s="10">
        <v>10</v>
      </c>
      <c r="K76" s="10">
        <v>0</v>
      </c>
      <c r="L76" s="19"/>
      <c r="M76" s="10">
        <v>400</v>
      </c>
      <c r="N76" s="10">
        <v>12000</v>
      </c>
      <c r="O76" s="19">
        <v>1</v>
      </c>
      <c r="P76" s="10">
        <v>2009</v>
      </c>
      <c r="Q76" s="10" t="s">
        <v>965</v>
      </c>
    </row>
    <row r="77" spans="1:17" x14ac:dyDescent="0.35">
      <c r="A77" s="11" t="s">
        <v>80</v>
      </c>
      <c r="B77" s="11" t="s">
        <v>966</v>
      </c>
      <c r="D77" s="10" t="s">
        <v>816</v>
      </c>
      <c r="E77" s="10" t="s">
        <v>811</v>
      </c>
      <c r="F77" s="10" t="s">
        <v>812</v>
      </c>
      <c r="G77" s="10" t="s">
        <v>967</v>
      </c>
      <c r="H77" s="11" t="s">
        <v>968</v>
      </c>
      <c r="I77" s="10">
        <v>15000</v>
      </c>
      <c r="J77" s="10">
        <v>10</v>
      </c>
      <c r="K77" s="10">
        <v>0</v>
      </c>
      <c r="L77" s="19"/>
      <c r="M77" s="10">
        <v>1900</v>
      </c>
      <c r="N77" s="10">
        <v>113000</v>
      </c>
      <c r="O77" s="19">
        <v>1.3</v>
      </c>
      <c r="P77" s="10">
        <v>2017</v>
      </c>
      <c r="Q77" s="10" t="s">
        <v>969</v>
      </c>
    </row>
    <row r="78" spans="1:17" x14ac:dyDescent="0.35">
      <c r="A78" s="11" t="s">
        <v>80</v>
      </c>
      <c r="B78" s="11" t="s">
        <v>970</v>
      </c>
      <c r="D78" s="10" t="s">
        <v>816</v>
      </c>
      <c r="E78" s="10" t="s">
        <v>811</v>
      </c>
      <c r="F78" s="10" t="s">
        <v>812</v>
      </c>
      <c r="G78" s="10" t="s">
        <v>967</v>
      </c>
      <c r="H78" s="11" t="s">
        <v>971</v>
      </c>
      <c r="I78" s="10">
        <v>3000</v>
      </c>
      <c r="J78" s="10">
        <v>10</v>
      </c>
      <c r="K78" s="10">
        <v>0</v>
      </c>
      <c r="L78" s="19"/>
      <c r="M78" s="10">
        <v>400</v>
      </c>
      <c r="N78" s="10">
        <v>17000</v>
      </c>
      <c r="O78" s="19">
        <v>1.3</v>
      </c>
      <c r="P78" s="10">
        <v>2017</v>
      </c>
      <c r="Q78" s="10" t="s">
        <v>972</v>
      </c>
    </row>
    <row r="79" spans="1:17" x14ac:dyDescent="0.35">
      <c r="A79" s="11" t="s">
        <v>80</v>
      </c>
      <c r="B79" s="11" t="s">
        <v>973</v>
      </c>
      <c r="D79" s="10" t="s">
        <v>816</v>
      </c>
      <c r="E79" s="10" t="s">
        <v>886</v>
      </c>
      <c r="F79" s="10" t="s">
        <v>819</v>
      </c>
      <c r="G79" s="10" t="s">
        <v>876</v>
      </c>
      <c r="H79" s="11" t="s">
        <v>974</v>
      </c>
      <c r="I79" s="10">
        <v>13000</v>
      </c>
      <c r="K79" s="10">
        <v>10500</v>
      </c>
      <c r="L79" s="19">
        <v>0.87</v>
      </c>
      <c r="M79" s="10" t="s">
        <v>863</v>
      </c>
      <c r="N79" s="10">
        <v>25000</v>
      </c>
      <c r="O79" s="23">
        <v>0.95</v>
      </c>
      <c r="P79" s="10">
        <v>2021</v>
      </c>
      <c r="Q79" s="10" t="s">
        <v>975</v>
      </c>
    </row>
    <row r="80" spans="1:17" x14ac:dyDescent="0.35">
      <c r="A80" s="11" t="s">
        <v>80</v>
      </c>
      <c r="B80" s="11" t="s">
        <v>976</v>
      </c>
      <c r="D80" s="10" t="s">
        <v>816</v>
      </c>
      <c r="E80" s="10" t="s">
        <v>886</v>
      </c>
      <c r="F80" s="10" t="s">
        <v>819</v>
      </c>
      <c r="G80" s="10" t="s">
        <v>836</v>
      </c>
      <c r="H80" s="11" t="s">
        <v>974</v>
      </c>
      <c r="I80" s="10">
        <v>32000</v>
      </c>
      <c r="J80" s="10">
        <v>15</v>
      </c>
      <c r="K80" s="10">
        <v>9500</v>
      </c>
      <c r="L80" s="19"/>
      <c r="M80" s="10">
        <v>0</v>
      </c>
      <c r="N80" s="10">
        <v>0</v>
      </c>
      <c r="P80" s="10">
        <v>2023</v>
      </c>
      <c r="Q80" s="10" t="s">
        <v>977</v>
      </c>
    </row>
    <row r="81" spans="1:17" x14ac:dyDescent="0.35">
      <c r="A81" s="11" t="s">
        <v>80</v>
      </c>
      <c r="B81" s="11" t="s">
        <v>978</v>
      </c>
      <c r="D81" s="10" t="s">
        <v>816</v>
      </c>
      <c r="E81" s="10" t="s">
        <v>811</v>
      </c>
      <c r="F81" s="10" t="s">
        <v>819</v>
      </c>
      <c r="G81" s="10" t="s">
        <v>882</v>
      </c>
      <c r="H81" s="11" t="s">
        <v>979</v>
      </c>
      <c r="I81" s="10">
        <v>37600</v>
      </c>
      <c r="J81" s="10">
        <v>32</v>
      </c>
      <c r="K81" s="10">
        <v>65000</v>
      </c>
      <c r="L81" s="19">
        <v>0.75</v>
      </c>
      <c r="M81" s="10">
        <v>3000</v>
      </c>
      <c r="N81" s="10">
        <v>100000</v>
      </c>
      <c r="O81" s="19">
        <v>1</v>
      </c>
      <c r="P81" s="10" t="s">
        <v>980</v>
      </c>
      <c r="Q81" s="10" t="s">
        <v>981</v>
      </c>
    </row>
    <row r="82" spans="1:17" x14ac:dyDescent="0.35">
      <c r="A82" s="11" t="s">
        <v>80</v>
      </c>
      <c r="B82" s="11" t="s">
        <v>982</v>
      </c>
      <c r="D82" s="10" t="s">
        <v>810</v>
      </c>
      <c r="E82" s="10" t="s">
        <v>811</v>
      </c>
      <c r="F82" s="14" t="s">
        <v>823</v>
      </c>
      <c r="G82" s="10" t="s">
        <v>836</v>
      </c>
      <c r="H82" s="11" t="s">
        <v>983</v>
      </c>
      <c r="I82" s="10">
        <v>5090</v>
      </c>
      <c r="K82" s="10">
        <v>4200</v>
      </c>
      <c r="L82" s="19">
        <v>1.05</v>
      </c>
      <c r="N82" s="10">
        <v>11000</v>
      </c>
      <c r="O82" s="19">
        <v>0.9</v>
      </c>
      <c r="P82" s="10">
        <v>2020</v>
      </c>
      <c r="Q82" s="10" t="s">
        <v>984</v>
      </c>
    </row>
    <row r="83" spans="1:17" x14ac:dyDescent="0.35">
      <c r="A83" s="11" t="s">
        <v>86</v>
      </c>
      <c r="B83" t="s">
        <v>985</v>
      </c>
      <c r="D83" t="s">
        <v>810</v>
      </c>
      <c r="E83" t="s">
        <v>811</v>
      </c>
      <c r="F83" s="14" t="s">
        <v>823</v>
      </c>
      <c r="G83" t="s">
        <v>986</v>
      </c>
      <c r="H83" t="s">
        <v>987</v>
      </c>
      <c r="I83">
        <v>5183</v>
      </c>
      <c r="J83" t="s">
        <v>988</v>
      </c>
      <c r="K83">
        <v>3953</v>
      </c>
      <c r="L83" s="24">
        <v>0.8</v>
      </c>
      <c r="M83"/>
      <c r="N83">
        <v>25000</v>
      </c>
      <c r="O83"/>
      <c r="P83">
        <v>2005</v>
      </c>
    </row>
    <row r="84" spans="1:17" x14ac:dyDescent="0.35">
      <c r="A84" s="11" t="s">
        <v>86</v>
      </c>
      <c r="B84" t="s">
        <v>989</v>
      </c>
      <c r="D84" t="s">
        <v>861</v>
      </c>
      <c r="E84" t="s">
        <v>811</v>
      </c>
      <c r="F84" s="10" t="s">
        <v>819</v>
      </c>
      <c r="G84" t="s">
        <v>990</v>
      </c>
      <c r="H84" t="s">
        <v>991</v>
      </c>
      <c r="I84">
        <v>28330</v>
      </c>
      <c r="J84" t="s">
        <v>988</v>
      </c>
      <c r="K84">
        <v>20500</v>
      </c>
      <c r="L84" s="25" t="s">
        <v>992</v>
      </c>
      <c r="M84"/>
      <c r="N84">
        <v>15000</v>
      </c>
      <c r="O84"/>
      <c r="P84">
        <v>1982</v>
      </c>
    </row>
    <row r="85" spans="1:17" x14ac:dyDescent="0.35">
      <c r="A85" s="11" t="s">
        <v>86</v>
      </c>
      <c r="B85" t="s">
        <v>993</v>
      </c>
      <c r="D85" t="s">
        <v>810</v>
      </c>
      <c r="E85" t="s">
        <v>909</v>
      </c>
      <c r="F85" s="10" t="s">
        <v>819</v>
      </c>
      <c r="G85" t="s">
        <v>990</v>
      </c>
      <c r="H85" t="s">
        <v>994</v>
      </c>
      <c r="I85">
        <v>22137</v>
      </c>
      <c r="J85" t="s">
        <v>988</v>
      </c>
      <c r="K85">
        <v>11400</v>
      </c>
      <c r="L85" s="25" t="s">
        <v>992</v>
      </c>
      <c r="M85">
        <v>750</v>
      </c>
      <c r="N85"/>
      <c r="O85"/>
      <c r="P85">
        <v>2001</v>
      </c>
    </row>
    <row r="86" spans="1:17" x14ac:dyDescent="0.35">
      <c r="A86" s="11" t="s">
        <v>86</v>
      </c>
      <c r="B86" t="s">
        <v>995</v>
      </c>
      <c r="D86" t="s">
        <v>810</v>
      </c>
      <c r="E86" t="s">
        <v>811</v>
      </c>
      <c r="F86" s="10" t="s">
        <v>812</v>
      </c>
      <c r="G86" t="s">
        <v>889</v>
      </c>
      <c r="H86" t="s">
        <v>996</v>
      </c>
      <c r="I86">
        <v>8900</v>
      </c>
      <c r="J86" t="s">
        <v>988</v>
      </c>
      <c r="K86">
        <v>0</v>
      </c>
      <c r="L86" s="24">
        <v>0</v>
      </c>
      <c r="M86"/>
      <c r="N86">
        <v>32000</v>
      </c>
      <c r="O86" s="26">
        <v>1</v>
      </c>
      <c r="P86">
        <v>2010</v>
      </c>
    </row>
    <row r="87" spans="1:17" x14ac:dyDescent="0.35">
      <c r="A87" s="11" t="s">
        <v>86</v>
      </c>
      <c r="B87" t="s">
        <v>997</v>
      </c>
      <c r="D87" t="s">
        <v>810</v>
      </c>
      <c r="E87" t="s">
        <v>811</v>
      </c>
      <c r="F87" s="10" t="s">
        <v>819</v>
      </c>
      <c r="G87" t="s">
        <v>889</v>
      </c>
      <c r="H87" t="s">
        <v>998</v>
      </c>
      <c r="I87">
        <v>5998</v>
      </c>
      <c r="J87" t="s">
        <v>988</v>
      </c>
      <c r="K87">
        <v>3000</v>
      </c>
      <c r="L87" s="24">
        <v>0.75</v>
      </c>
      <c r="M87">
        <f>15*33</f>
        <v>495</v>
      </c>
      <c r="N87"/>
      <c r="O87"/>
      <c r="P87">
        <v>2010</v>
      </c>
    </row>
    <row r="88" spans="1:17" x14ac:dyDescent="0.35">
      <c r="A88" s="11" t="s">
        <v>86</v>
      </c>
      <c r="B88" t="s">
        <v>999</v>
      </c>
      <c r="D88" t="s">
        <v>810</v>
      </c>
      <c r="E88" t="s">
        <v>811</v>
      </c>
      <c r="F88" s="10" t="s">
        <v>812</v>
      </c>
      <c r="G88" t="s">
        <v>1000</v>
      </c>
      <c r="H88" t="s">
        <v>1001</v>
      </c>
      <c r="I88">
        <v>10547</v>
      </c>
      <c r="J88" t="s">
        <v>988</v>
      </c>
      <c r="K88">
        <v>0</v>
      </c>
      <c r="L88" s="24">
        <v>0</v>
      </c>
      <c r="M88"/>
      <c r="N88">
        <v>100000</v>
      </c>
      <c r="O88" s="26">
        <v>1</v>
      </c>
      <c r="P88">
        <v>2000</v>
      </c>
    </row>
    <row r="89" spans="1:17" x14ac:dyDescent="0.35">
      <c r="A89" s="11" t="s">
        <v>86</v>
      </c>
      <c r="B89" t="s">
        <v>1002</v>
      </c>
      <c r="D89" t="s">
        <v>810</v>
      </c>
      <c r="E89" t="s">
        <v>909</v>
      </c>
      <c r="F89" s="10" t="s">
        <v>812</v>
      </c>
      <c r="G89" t="s">
        <v>889</v>
      </c>
      <c r="H89" t="s">
        <v>892</v>
      </c>
      <c r="I89">
        <v>3800</v>
      </c>
      <c r="J89" t="s">
        <v>988</v>
      </c>
      <c r="K89">
        <v>0</v>
      </c>
      <c r="L89" s="24">
        <v>0</v>
      </c>
      <c r="M89"/>
      <c r="N89">
        <v>50000</v>
      </c>
      <c r="O89" s="26">
        <v>0.85</v>
      </c>
      <c r="P89">
        <v>2012</v>
      </c>
    </row>
    <row r="90" spans="1:17" x14ac:dyDescent="0.35">
      <c r="A90" s="11" t="s">
        <v>86</v>
      </c>
      <c r="B90" t="s">
        <v>1003</v>
      </c>
      <c r="D90" t="s">
        <v>810</v>
      </c>
      <c r="E90" t="s">
        <v>909</v>
      </c>
      <c r="F90" s="10" t="s">
        <v>812</v>
      </c>
      <c r="G90" t="s">
        <v>889</v>
      </c>
      <c r="H90" t="s">
        <v>892</v>
      </c>
      <c r="I90">
        <v>2531</v>
      </c>
      <c r="J90" t="s">
        <v>988</v>
      </c>
      <c r="K90">
        <v>0</v>
      </c>
      <c r="L90" s="24">
        <v>0</v>
      </c>
      <c r="M90"/>
      <c r="N90">
        <v>25000</v>
      </c>
      <c r="O90" s="26">
        <v>0.85</v>
      </c>
      <c r="P90">
        <v>2021</v>
      </c>
    </row>
    <row r="91" spans="1:17" x14ac:dyDescent="0.35">
      <c r="A91" s="11" t="s">
        <v>86</v>
      </c>
      <c r="B91" t="s">
        <v>1004</v>
      </c>
      <c r="D91" t="s">
        <v>861</v>
      </c>
      <c r="E91" t="s">
        <v>811</v>
      </c>
      <c r="F91" s="10" t="s">
        <v>819</v>
      </c>
      <c r="G91" t="s">
        <v>990</v>
      </c>
      <c r="H91" t="s">
        <v>1005</v>
      </c>
      <c r="I91">
        <v>21000</v>
      </c>
      <c r="J91" t="s">
        <v>988</v>
      </c>
      <c r="K91">
        <v>3000</v>
      </c>
      <c r="L91" s="24">
        <v>0.5</v>
      </c>
      <c r="M91"/>
      <c r="N91">
        <v>0</v>
      </c>
      <c r="O91"/>
      <c r="P91">
        <v>1960</v>
      </c>
    </row>
    <row r="92" spans="1:17" x14ac:dyDescent="0.35">
      <c r="A92" s="11" t="s">
        <v>86</v>
      </c>
      <c r="B92" t="s">
        <v>1006</v>
      </c>
      <c r="D92" t="s">
        <v>861</v>
      </c>
      <c r="E92" t="s">
        <v>811</v>
      </c>
      <c r="F92" s="10" t="s">
        <v>819</v>
      </c>
      <c r="G92" t="s">
        <v>882</v>
      </c>
      <c r="H92" t="s">
        <v>1007</v>
      </c>
      <c r="I92">
        <v>43000</v>
      </c>
      <c r="J92" t="s">
        <v>1008</v>
      </c>
      <c r="K92">
        <v>72400</v>
      </c>
      <c r="L92" s="24">
        <v>0.8</v>
      </c>
      <c r="M92"/>
      <c r="N92">
        <v>240000</v>
      </c>
      <c r="O92"/>
      <c r="P92">
        <v>2015</v>
      </c>
    </row>
    <row r="93" spans="1:17" x14ac:dyDescent="0.35">
      <c r="A93" s="11" t="s">
        <v>95</v>
      </c>
      <c r="B93" s="11" t="s">
        <v>819</v>
      </c>
      <c r="D93" s="10" t="s">
        <v>861</v>
      </c>
      <c r="E93" s="10" t="s">
        <v>811</v>
      </c>
      <c r="F93" s="10" t="s">
        <v>819</v>
      </c>
      <c r="G93" s="10" t="s">
        <v>1009</v>
      </c>
      <c r="H93" s="11" t="s">
        <v>1010</v>
      </c>
      <c r="I93" s="10">
        <v>11000</v>
      </c>
      <c r="J93" s="10">
        <v>10</v>
      </c>
      <c r="L93" s="19">
        <v>0.9</v>
      </c>
      <c r="M93" s="15">
        <v>1200</v>
      </c>
      <c r="N93" s="15">
        <v>1100</v>
      </c>
      <c r="O93" s="27">
        <v>0.83</v>
      </c>
      <c r="P93" s="10">
        <v>1990</v>
      </c>
      <c r="Q93" s="10">
        <v>0</v>
      </c>
    </row>
    <row r="94" spans="1:17" x14ac:dyDescent="0.35">
      <c r="A94" s="11" t="s">
        <v>95</v>
      </c>
      <c r="B94" s="11" t="s">
        <v>812</v>
      </c>
      <c r="D94" s="10" t="s">
        <v>861</v>
      </c>
      <c r="E94" s="10" t="s">
        <v>811</v>
      </c>
      <c r="F94" s="10" t="s">
        <v>812</v>
      </c>
      <c r="G94" s="10" t="s">
        <v>1009</v>
      </c>
      <c r="H94" s="11" t="s">
        <v>812</v>
      </c>
      <c r="I94" s="10">
        <v>10000</v>
      </c>
      <c r="J94" s="10">
        <v>11</v>
      </c>
      <c r="L94" s="19">
        <v>0.7</v>
      </c>
      <c r="M94" s="15">
        <v>1500</v>
      </c>
      <c r="N94" s="15">
        <v>75000</v>
      </c>
      <c r="O94" s="27">
        <v>0.8</v>
      </c>
      <c r="P94" s="10">
        <v>1990</v>
      </c>
      <c r="Q94" s="10">
        <v>0</v>
      </c>
    </row>
    <row r="95" spans="1:17" x14ac:dyDescent="0.35">
      <c r="A95" s="11" t="s">
        <v>95</v>
      </c>
      <c r="B95" s="11" t="s">
        <v>1011</v>
      </c>
      <c r="D95" s="10" t="s">
        <v>861</v>
      </c>
      <c r="E95" s="10" t="s">
        <v>811</v>
      </c>
      <c r="F95" s="10" t="s">
        <v>812</v>
      </c>
      <c r="G95" s="10" t="s">
        <v>1009</v>
      </c>
      <c r="H95" s="11" t="s">
        <v>1011</v>
      </c>
      <c r="I95" s="10">
        <v>4300</v>
      </c>
      <c r="J95" s="10">
        <v>11</v>
      </c>
      <c r="L95" s="19">
        <v>1</v>
      </c>
      <c r="M95" s="15">
        <v>250</v>
      </c>
      <c r="N95" s="15">
        <v>12000</v>
      </c>
      <c r="O95" s="27">
        <v>1</v>
      </c>
      <c r="P95" s="10">
        <v>1990</v>
      </c>
      <c r="Q95" s="12">
        <v>0</v>
      </c>
    </row>
    <row r="96" spans="1:17" x14ac:dyDescent="0.35">
      <c r="A96" s="11" t="s">
        <v>95</v>
      </c>
      <c r="B96" s="11" t="s">
        <v>1012</v>
      </c>
      <c r="D96" s="10" t="s">
        <v>861</v>
      </c>
      <c r="E96" s="10" t="s">
        <v>811</v>
      </c>
      <c r="F96" s="10" t="s">
        <v>819</v>
      </c>
      <c r="G96" s="10" t="s">
        <v>882</v>
      </c>
      <c r="H96" s="11" t="s">
        <v>22</v>
      </c>
      <c r="I96" s="10">
        <v>27000</v>
      </c>
      <c r="J96" s="10">
        <v>25</v>
      </c>
      <c r="L96" s="19">
        <v>0.85</v>
      </c>
      <c r="M96" s="15">
        <v>2500</v>
      </c>
      <c r="N96" s="12"/>
      <c r="O96" s="27">
        <v>0.85</v>
      </c>
      <c r="P96" s="10">
        <v>2023</v>
      </c>
      <c r="Q96" s="12">
        <v>0</v>
      </c>
    </row>
    <row r="97" spans="1:18" x14ac:dyDescent="0.35">
      <c r="A97" s="11" t="s">
        <v>95</v>
      </c>
      <c r="B97" s="11" t="s">
        <v>923</v>
      </c>
      <c r="D97" s="10" t="s">
        <v>861</v>
      </c>
      <c r="E97" s="10" t="s">
        <v>909</v>
      </c>
      <c r="F97" s="10" t="s">
        <v>819</v>
      </c>
      <c r="G97" s="10" t="s">
        <v>1009</v>
      </c>
      <c r="H97" s="11" t="s">
        <v>923</v>
      </c>
      <c r="I97" s="10">
        <v>6000</v>
      </c>
      <c r="L97" s="19">
        <v>0.7</v>
      </c>
      <c r="M97" s="15">
        <v>450</v>
      </c>
      <c r="N97" s="12"/>
      <c r="O97" s="27">
        <v>0.78</v>
      </c>
      <c r="P97" s="10">
        <v>2023</v>
      </c>
      <c r="Q97" s="10">
        <v>0</v>
      </c>
    </row>
    <row r="98" spans="1:18" x14ac:dyDescent="0.35">
      <c r="A98" s="11" t="s">
        <v>95</v>
      </c>
      <c r="B98" s="11" t="s">
        <v>1013</v>
      </c>
      <c r="D98" s="10" t="s">
        <v>861</v>
      </c>
      <c r="E98" s="10" t="s">
        <v>811</v>
      </c>
      <c r="F98" s="10" t="s">
        <v>819</v>
      </c>
      <c r="G98" s="10" t="s">
        <v>1009</v>
      </c>
      <c r="H98" s="11" t="s">
        <v>1014</v>
      </c>
      <c r="I98" s="10">
        <v>6000</v>
      </c>
      <c r="L98" s="19">
        <v>0.7</v>
      </c>
      <c r="M98" s="12"/>
      <c r="N98" s="12"/>
      <c r="P98" s="10">
        <v>2023</v>
      </c>
      <c r="Q98" s="10">
        <v>0</v>
      </c>
    </row>
    <row r="99" spans="1:18" x14ac:dyDescent="0.35">
      <c r="A99" s="11" t="s">
        <v>95</v>
      </c>
      <c r="B99" s="11" t="s">
        <v>1015</v>
      </c>
      <c r="D99" s="10" t="s">
        <v>810</v>
      </c>
      <c r="E99" s="10" t="s">
        <v>811</v>
      </c>
      <c r="F99" s="10" t="s">
        <v>819</v>
      </c>
      <c r="G99" s="10" t="s">
        <v>1009</v>
      </c>
      <c r="H99" s="11" t="s">
        <v>1016</v>
      </c>
      <c r="I99" s="10">
        <v>19000</v>
      </c>
      <c r="P99" s="10">
        <v>2023</v>
      </c>
      <c r="Q99" s="28">
        <v>0</v>
      </c>
    </row>
    <row r="100" spans="1:18" x14ac:dyDescent="0.35">
      <c r="A100" s="11" t="s">
        <v>95</v>
      </c>
      <c r="B100" s="11" t="s">
        <v>928</v>
      </c>
      <c r="D100" s="10" t="s">
        <v>861</v>
      </c>
      <c r="E100" s="10" t="s">
        <v>811</v>
      </c>
      <c r="F100" s="14" t="s">
        <v>823</v>
      </c>
      <c r="G100" s="10" t="s">
        <v>1009</v>
      </c>
      <c r="H100" s="11" t="s">
        <v>928</v>
      </c>
      <c r="I100" s="10">
        <v>3000</v>
      </c>
      <c r="J100" s="10">
        <v>11</v>
      </c>
      <c r="L100" s="19">
        <v>1</v>
      </c>
      <c r="M100" s="15">
        <v>200</v>
      </c>
      <c r="N100" s="15">
        <v>10000</v>
      </c>
      <c r="O100" s="27">
        <v>1</v>
      </c>
      <c r="P100" s="10">
        <v>1990</v>
      </c>
      <c r="Q100" s="12">
        <v>0</v>
      </c>
    </row>
    <row r="101" spans="1:18" x14ac:dyDescent="0.35">
      <c r="A101" s="11" t="s">
        <v>97</v>
      </c>
      <c r="B101" s="29" t="s">
        <v>1017</v>
      </c>
      <c r="D101" s="29" t="s">
        <v>861</v>
      </c>
      <c r="E101" s="29" t="s">
        <v>811</v>
      </c>
      <c r="F101" s="10" t="s">
        <v>812</v>
      </c>
      <c r="G101" s="29" t="s">
        <v>1018</v>
      </c>
      <c r="H101" s="29" t="s">
        <v>1019</v>
      </c>
      <c r="I101" s="30">
        <v>12000</v>
      </c>
      <c r="J101" s="29"/>
      <c r="K101" s="29" t="s">
        <v>1020</v>
      </c>
      <c r="L101" s="29"/>
      <c r="M101" s="29">
        <v>2200</v>
      </c>
      <c r="N101" s="29">
        <v>87500</v>
      </c>
      <c r="O101" s="31">
        <v>0.85</v>
      </c>
      <c r="P101" s="29">
        <v>2017</v>
      </c>
      <c r="Q101" s="13">
        <v>2015</v>
      </c>
    </row>
    <row r="102" spans="1:18" x14ac:dyDescent="0.35">
      <c r="A102" s="11" t="s">
        <v>97</v>
      </c>
      <c r="B102" s="29" t="s">
        <v>1021</v>
      </c>
      <c r="D102" s="29" t="s">
        <v>810</v>
      </c>
      <c r="E102" s="29" t="s">
        <v>811</v>
      </c>
      <c r="F102" s="10" t="s">
        <v>812</v>
      </c>
      <c r="G102" s="29"/>
      <c r="H102" s="29" t="s">
        <v>1022</v>
      </c>
      <c r="I102" s="30"/>
      <c r="J102" s="29"/>
      <c r="K102" s="29"/>
      <c r="L102" s="29"/>
      <c r="M102" s="29"/>
      <c r="N102" s="29"/>
      <c r="O102" s="29"/>
      <c r="P102" s="29"/>
      <c r="Q102" s="13" t="s">
        <v>1023</v>
      </c>
    </row>
    <row r="103" spans="1:18" x14ac:dyDescent="0.35">
      <c r="A103" s="11" t="s">
        <v>97</v>
      </c>
      <c r="B103" s="29" t="s">
        <v>1024</v>
      </c>
      <c r="D103" s="29" t="s">
        <v>861</v>
      </c>
      <c r="E103" s="29" t="s">
        <v>811</v>
      </c>
      <c r="F103" s="10" t="s">
        <v>819</v>
      </c>
      <c r="G103" s="29" t="s">
        <v>1025</v>
      </c>
      <c r="H103" s="29" t="s">
        <v>1026</v>
      </c>
      <c r="I103" s="32">
        <v>30000</v>
      </c>
      <c r="J103" s="29"/>
      <c r="K103" s="29" t="s">
        <v>1027</v>
      </c>
      <c r="L103" s="29"/>
      <c r="M103" s="29">
        <v>1180</v>
      </c>
      <c r="N103" s="29">
        <v>80000</v>
      </c>
      <c r="O103" s="31">
        <v>0.85</v>
      </c>
      <c r="P103" s="29">
        <v>2015</v>
      </c>
      <c r="Q103" s="13" t="s">
        <v>1028</v>
      </c>
    </row>
    <row r="104" spans="1:18" x14ac:dyDescent="0.35">
      <c r="A104" s="11" t="s">
        <v>97</v>
      </c>
      <c r="B104" s="29" t="s">
        <v>1029</v>
      </c>
      <c r="D104" s="29" t="s">
        <v>861</v>
      </c>
      <c r="E104" s="29" t="s">
        <v>811</v>
      </c>
      <c r="F104" s="10" t="s">
        <v>819</v>
      </c>
      <c r="G104" s="29" t="s">
        <v>1030</v>
      </c>
      <c r="H104" s="29" t="s">
        <v>1031</v>
      </c>
      <c r="I104" s="32">
        <v>12000</v>
      </c>
      <c r="J104" s="29"/>
      <c r="K104" s="29" t="s">
        <v>1032</v>
      </c>
      <c r="L104" s="31">
        <v>1</v>
      </c>
      <c r="M104" s="29">
        <v>370</v>
      </c>
      <c r="N104" s="29">
        <v>20000</v>
      </c>
      <c r="O104" s="29">
        <v>100</v>
      </c>
      <c r="P104" s="29" t="s">
        <v>1023</v>
      </c>
      <c r="Q104" s="13"/>
    </row>
    <row r="105" spans="1:18" x14ac:dyDescent="0.35">
      <c r="A105" s="11" t="s">
        <v>97</v>
      </c>
      <c r="B105" s="29" t="s">
        <v>1033</v>
      </c>
      <c r="D105" s="29" t="s">
        <v>861</v>
      </c>
      <c r="E105" s="29" t="s">
        <v>811</v>
      </c>
      <c r="F105" s="10" t="s">
        <v>819</v>
      </c>
      <c r="G105" s="29" t="s">
        <v>1030</v>
      </c>
      <c r="H105" s="29" t="s">
        <v>1034</v>
      </c>
      <c r="I105" s="32">
        <v>16311</v>
      </c>
      <c r="J105" s="29"/>
      <c r="K105" s="29" t="s">
        <v>1035</v>
      </c>
      <c r="L105" s="31">
        <v>1</v>
      </c>
      <c r="M105" s="29">
        <v>1100</v>
      </c>
      <c r="N105" s="29">
        <v>60200</v>
      </c>
      <c r="O105" s="29">
        <v>100</v>
      </c>
      <c r="P105" s="29" t="s">
        <v>1028</v>
      </c>
      <c r="Q105" s="13"/>
    </row>
    <row r="106" spans="1:18" x14ac:dyDescent="0.35">
      <c r="A106" s="11" t="s">
        <v>97</v>
      </c>
      <c r="B106" s="29"/>
      <c r="D106" s="29" t="s">
        <v>861</v>
      </c>
      <c r="E106" s="29" t="s">
        <v>811</v>
      </c>
      <c r="F106" s="10" t="s">
        <v>812</v>
      </c>
      <c r="G106" s="29"/>
      <c r="H106" s="29" t="s">
        <v>1036</v>
      </c>
      <c r="I106" s="29">
        <v>2914</v>
      </c>
      <c r="J106" s="29"/>
      <c r="K106" s="29"/>
      <c r="L106" s="29"/>
      <c r="M106" s="29"/>
      <c r="N106" s="29"/>
      <c r="O106" s="29"/>
      <c r="P106" s="29"/>
      <c r="Q106" s="13"/>
    </row>
    <row r="107" spans="1:18" x14ac:dyDescent="0.35">
      <c r="A107" s="11" t="s">
        <v>97</v>
      </c>
      <c r="B107" s="29" t="s">
        <v>1037</v>
      </c>
      <c r="D107" s="29" t="s">
        <v>861</v>
      </c>
      <c r="E107" s="29" t="s">
        <v>811</v>
      </c>
      <c r="F107" s="14" t="s">
        <v>823</v>
      </c>
      <c r="G107" s="29"/>
      <c r="H107" s="29" t="s">
        <v>823</v>
      </c>
      <c r="I107" s="30">
        <v>4500</v>
      </c>
      <c r="J107" s="29"/>
      <c r="K107" s="29" t="s">
        <v>1038</v>
      </c>
      <c r="L107" s="29"/>
      <c r="M107" s="29">
        <v>170</v>
      </c>
      <c r="N107" s="29">
        <v>9250</v>
      </c>
      <c r="O107" s="29"/>
      <c r="P107" s="29"/>
      <c r="Q107" s="13">
        <v>2017</v>
      </c>
      <c r="R107" s="11">
        <v>14500</v>
      </c>
    </row>
    <row r="108" spans="1:18" x14ac:dyDescent="0.35">
      <c r="A108" s="11" t="s">
        <v>107</v>
      </c>
      <c r="B108" s="11" t="s">
        <v>788</v>
      </c>
      <c r="D108" s="10" t="s">
        <v>861</v>
      </c>
      <c r="E108" s="10" t="s">
        <v>811</v>
      </c>
      <c r="F108" s="10" t="s">
        <v>819</v>
      </c>
      <c r="G108" s="10" t="s">
        <v>811</v>
      </c>
      <c r="H108" s="11" t="s">
        <v>1039</v>
      </c>
      <c r="I108" s="10">
        <v>23000</v>
      </c>
      <c r="J108" s="10">
        <v>12</v>
      </c>
      <c r="K108" s="10">
        <v>21000</v>
      </c>
      <c r="P108" s="10">
        <v>1993</v>
      </c>
      <c r="Q108" s="10">
        <v>0</v>
      </c>
    </row>
    <row r="109" spans="1:18" x14ac:dyDescent="0.35">
      <c r="A109" s="11" t="s">
        <v>107</v>
      </c>
      <c r="B109" s="11" t="s">
        <v>1040</v>
      </c>
      <c r="F109" s="10" t="s">
        <v>819</v>
      </c>
      <c r="G109" s="10" t="s">
        <v>811</v>
      </c>
      <c r="I109" s="10">
        <v>5500</v>
      </c>
      <c r="J109" s="10">
        <v>12</v>
      </c>
      <c r="K109" s="10" t="s">
        <v>863</v>
      </c>
      <c r="L109" s="19">
        <v>0.9</v>
      </c>
      <c r="P109" s="10">
        <v>1993</v>
      </c>
      <c r="Q109" s="10">
        <v>0</v>
      </c>
    </row>
    <row r="110" spans="1:18" x14ac:dyDescent="0.35">
      <c r="A110" s="11" t="s">
        <v>107</v>
      </c>
      <c r="B110" s="11" t="s">
        <v>1041</v>
      </c>
      <c r="F110" s="10" t="s">
        <v>819</v>
      </c>
      <c r="G110" s="10" t="s">
        <v>811</v>
      </c>
      <c r="I110" s="10">
        <v>5500</v>
      </c>
      <c r="J110" s="10">
        <v>12</v>
      </c>
      <c r="K110" s="10" t="s">
        <v>863</v>
      </c>
      <c r="L110" s="19">
        <v>0.9</v>
      </c>
      <c r="P110" s="10">
        <v>1993</v>
      </c>
      <c r="Q110" s="10">
        <v>0</v>
      </c>
    </row>
    <row r="111" spans="1:18" x14ac:dyDescent="0.35">
      <c r="A111" s="11" t="s">
        <v>107</v>
      </c>
      <c r="B111" s="11" t="s">
        <v>1042</v>
      </c>
      <c r="F111" s="10" t="s">
        <v>1043</v>
      </c>
      <c r="G111" s="10" t="s">
        <v>811</v>
      </c>
      <c r="I111" s="10">
        <v>12000</v>
      </c>
      <c r="J111" s="10">
        <v>12</v>
      </c>
      <c r="K111" s="10" t="s">
        <v>863</v>
      </c>
      <c r="L111" s="19"/>
      <c r="P111" s="10">
        <v>1993</v>
      </c>
      <c r="Q111" s="10">
        <v>0</v>
      </c>
    </row>
    <row r="112" spans="1:18" x14ac:dyDescent="0.35">
      <c r="A112" s="11" t="s">
        <v>107</v>
      </c>
      <c r="B112" s="11" t="s">
        <v>1044</v>
      </c>
      <c r="F112" s="10" t="s">
        <v>819</v>
      </c>
      <c r="G112" s="10" t="s">
        <v>811</v>
      </c>
      <c r="I112" s="10">
        <v>36000</v>
      </c>
      <c r="K112" s="10" t="s">
        <v>863</v>
      </c>
      <c r="L112" s="19">
        <v>0.85</v>
      </c>
      <c r="P112" s="10">
        <v>2017</v>
      </c>
      <c r="Q112" s="10">
        <v>0</v>
      </c>
    </row>
    <row r="113" spans="1:17" x14ac:dyDescent="0.35">
      <c r="A113" s="11" t="s">
        <v>107</v>
      </c>
      <c r="B113" s="11" t="s">
        <v>1045</v>
      </c>
      <c r="F113" s="10" t="s">
        <v>819</v>
      </c>
      <c r="G113" s="10" t="s">
        <v>811</v>
      </c>
      <c r="I113" s="10">
        <v>1500</v>
      </c>
      <c r="L113" s="19"/>
      <c r="Q113" s="10">
        <v>0</v>
      </c>
    </row>
    <row r="114" spans="1:17" x14ac:dyDescent="0.35">
      <c r="A114" s="11" t="s">
        <v>107</v>
      </c>
      <c r="B114" s="11" t="s">
        <v>1046</v>
      </c>
      <c r="F114" s="10" t="s">
        <v>812</v>
      </c>
      <c r="G114" s="10" t="s">
        <v>1047</v>
      </c>
      <c r="I114" s="10">
        <v>9000</v>
      </c>
      <c r="Q114" s="10">
        <v>0</v>
      </c>
    </row>
    <row r="115" spans="1:17" x14ac:dyDescent="0.35">
      <c r="A115" s="11" t="s">
        <v>107</v>
      </c>
      <c r="B115" s="11" t="s">
        <v>1048</v>
      </c>
      <c r="F115" s="10" t="s">
        <v>812</v>
      </c>
      <c r="G115" s="10" t="s">
        <v>811</v>
      </c>
      <c r="I115" s="10">
        <v>3000</v>
      </c>
      <c r="Q115" s="10">
        <v>0</v>
      </c>
    </row>
    <row r="116" spans="1:17" x14ac:dyDescent="0.35">
      <c r="A116" s="11" t="s">
        <v>107</v>
      </c>
      <c r="B116" s="11" t="s">
        <v>1049</v>
      </c>
      <c r="F116" s="14" t="s">
        <v>823</v>
      </c>
      <c r="G116" s="10" t="s">
        <v>811</v>
      </c>
      <c r="I116" s="10">
        <v>7000</v>
      </c>
      <c r="K116" s="10" t="s">
        <v>863</v>
      </c>
      <c r="L116" s="19">
        <v>0.5</v>
      </c>
      <c r="P116" s="10">
        <v>2017</v>
      </c>
      <c r="Q116" s="10">
        <v>0</v>
      </c>
    </row>
    <row r="117" spans="1:17" x14ac:dyDescent="0.35">
      <c r="A117" s="11" t="s">
        <v>121</v>
      </c>
      <c r="B117" s="11" t="s">
        <v>1050</v>
      </c>
      <c r="D117" s="10" t="s">
        <v>816</v>
      </c>
      <c r="E117" s="10" t="s">
        <v>811</v>
      </c>
      <c r="F117" s="10" t="s">
        <v>819</v>
      </c>
      <c r="G117" s="10" t="s">
        <v>986</v>
      </c>
      <c r="I117" s="10">
        <v>10000</v>
      </c>
      <c r="J117" s="10">
        <v>11</v>
      </c>
      <c r="K117" s="10">
        <v>0</v>
      </c>
      <c r="L117" s="19"/>
      <c r="M117" s="10">
        <v>250</v>
      </c>
      <c r="N117" s="10">
        <v>13000</v>
      </c>
      <c r="O117" s="19">
        <v>2.2999999999999998</v>
      </c>
      <c r="P117" s="10">
        <v>1976</v>
      </c>
    </row>
    <row r="118" spans="1:17" x14ac:dyDescent="0.35">
      <c r="A118" s="11" t="s">
        <v>121</v>
      </c>
      <c r="B118" s="11" t="s">
        <v>1051</v>
      </c>
      <c r="D118" s="10" t="s">
        <v>816</v>
      </c>
      <c r="E118" s="10" t="s">
        <v>811</v>
      </c>
      <c r="F118" s="10" t="s">
        <v>819</v>
      </c>
      <c r="G118" s="10" t="s">
        <v>986</v>
      </c>
      <c r="I118" s="10">
        <v>42000</v>
      </c>
      <c r="J118" s="10">
        <v>15</v>
      </c>
      <c r="K118" s="10">
        <v>21000</v>
      </c>
      <c r="L118" s="19">
        <v>0.85</v>
      </c>
      <c r="M118" s="10">
        <v>1000</v>
      </c>
      <c r="N118" s="10">
        <v>70000</v>
      </c>
      <c r="O118" s="19">
        <v>1.3</v>
      </c>
      <c r="P118" s="10">
        <v>2007</v>
      </c>
    </row>
    <row r="119" spans="1:17" x14ac:dyDescent="0.35">
      <c r="A119" s="11" t="s">
        <v>121</v>
      </c>
      <c r="B119" s="11" t="s">
        <v>1052</v>
      </c>
      <c r="D119" s="10" t="s">
        <v>816</v>
      </c>
      <c r="E119" s="10" t="s">
        <v>811</v>
      </c>
      <c r="F119" s="10" t="s">
        <v>819</v>
      </c>
      <c r="G119" s="10" t="s">
        <v>956</v>
      </c>
      <c r="I119" s="10">
        <v>7300</v>
      </c>
      <c r="J119" s="10">
        <v>42</v>
      </c>
      <c r="K119" s="10">
        <v>35000</v>
      </c>
      <c r="L119" s="19">
        <v>0.85</v>
      </c>
      <c r="M119" s="10">
        <v>900</v>
      </c>
      <c r="N119" s="10">
        <v>62500</v>
      </c>
      <c r="O119" s="19">
        <v>1</v>
      </c>
      <c r="P119" s="10">
        <v>2017</v>
      </c>
    </row>
    <row r="120" spans="1:17" x14ac:dyDescent="0.35">
      <c r="A120" s="11" t="s">
        <v>121</v>
      </c>
      <c r="B120" s="11" t="s">
        <v>1053</v>
      </c>
      <c r="D120" s="10" t="s">
        <v>816</v>
      </c>
      <c r="E120" s="10" t="s">
        <v>811</v>
      </c>
      <c r="F120" s="10" t="s">
        <v>812</v>
      </c>
      <c r="G120" s="10" t="s">
        <v>824</v>
      </c>
      <c r="I120" s="10">
        <v>12000</v>
      </c>
      <c r="J120" s="10">
        <v>8</v>
      </c>
      <c r="K120" s="10">
        <v>0</v>
      </c>
      <c r="L120" s="19"/>
      <c r="M120" s="10">
        <v>2000</v>
      </c>
      <c r="N120" s="10">
        <v>170000</v>
      </c>
      <c r="O120" s="19">
        <v>1.25</v>
      </c>
      <c r="P120" s="10">
        <v>2017</v>
      </c>
    </row>
    <row r="121" spans="1:17" x14ac:dyDescent="0.35">
      <c r="A121" s="11" t="s">
        <v>121</v>
      </c>
      <c r="B121" s="11" t="s">
        <v>1054</v>
      </c>
      <c r="D121" s="10" t="s">
        <v>816</v>
      </c>
      <c r="E121" s="10" t="s">
        <v>811</v>
      </c>
      <c r="F121" s="14" t="s">
        <v>823</v>
      </c>
      <c r="G121" s="10" t="s">
        <v>986</v>
      </c>
      <c r="I121" s="10">
        <v>36000</v>
      </c>
      <c r="J121" s="10">
        <v>13</v>
      </c>
      <c r="K121" s="10">
        <v>9000</v>
      </c>
      <c r="L121" s="19">
        <v>0.85</v>
      </c>
      <c r="M121" s="10">
        <v>700</v>
      </c>
      <c r="N121" s="10">
        <v>30000</v>
      </c>
      <c r="O121" s="19">
        <v>1.6</v>
      </c>
      <c r="P121" s="10">
        <v>1991</v>
      </c>
    </row>
    <row r="122" spans="1:17" x14ac:dyDescent="0.35">
      <c r="A122" s="11" t="s">
        <v>124</v>
      </c>
      <c r="B122" s="11" t="s">
        <v>1055</v>
      </c>
      <c r="D122" s="10" t="s">
        <v>816</v>
      </c>
      <c r="E122" s="10" t="s">
        <v>886</v>
      </c>
      <c r="F122" s="10" t="s">
        <v>819</v>
      </c>
      <c r="G122" s="10" t="s">
        <v>1056</v>
      </c>
      <c r="H122" s="12" t="s">
        <v>1039</v>
      </c>
      <c r="I122" s="10">
        <v>20000</v>
      </c>
      <c r="J122" s="10">
        <v>12</v>
      </c>
      <c r="K122" s="10">
        <v>10000</v>
      </c>
      <c r="L122" s="19">
        <v>1</v>
      </c>
      <c r="M122" s="10">
        <f>7*33+33</f>
        <v>264</v>
      </c>
      <c r="N122" s="10">
        <v>0</v>
      </c>
      <c r="O122" s="19">
        <v>0</v>
      </c>
      <c r="P122" s="10">
        <v>1980</v>
      </c>
      <c r="Q122" s="10" t="s">
        <v>1057</v>
      </c>
    </row>
    <row r="123" spans="1:17" x14ac:dyDescent="0.35">
      <c r="A123" s="11" t="s">
        <v>124</v>
      </c>
      <c r="B123" s="11" t="s">
        <v>1058</v>
      </c>
      <c r="D123" s="10" t="s">
        <v>816</v>
      </c>
      <c r="E123" s="10" t="s">
        <v>811</v>
      </c>
      <c r="F123" s="10" t="s">
        <v>812</v>
      </c>
      <c r="G123" s="10" t="s">
        <v>853</v>
      </c>
      <c r="H123" s="12" t="s">
        <v>1059</v>
      </c>
      <c r="I123" s="10">
        <v>10000</v>
      </c>
      <c r="J123" s="10">
        <v>12</v>
      </c>
      <c r="K123" s="10">
        <v>0</v>
      </c>
      <c r="L123" s="19"/>
      <c r="M123" s="10">
        <f>30*33</f>
        <v>990</v>
      </c>
      <c r="N123" s="10">
        <v>0</v>
      </c>
      <c r="O123" s="19"/>
      <c r="P123" s="10">
        <v>2000</v>
      </c>
    </row>
    <row r="124" spans="1:17" x14ac:dyDescent="0.35">
      <c r="A124" s="11" t="s">
        <v>124</v>
      </c>
      <c r="B124" s="11" t="s">
        <v>1060</v>
      </c>
      <c r="D124" s="10" t="s">
        <v>816</v>
      </c>
      <c r="E124" s="10" t="s">
        <v>811</v>
      </c>
      <c r="F124" s="10" t="s">
        <v>819</v>
      </c>
      <c r="G124" s="10" t="s">
        <v>1056</v>
      </c>
      <c r="H124" s="12" t="s">
        <v>1061</v>
      </c>
      <c r="I124" s="10">
        <v>21000</v>
      </c>
      <c r="J124" s="10">
        <v>12</v>
      </c>
      <c r="K124" s="10">
        <v>20000</v>
      </c>
      <c r="L124" s="19">
        <v>0.8</v>
      </c>
      <c r="M124" s="10">
        <v>1000</v>
      </c>
      <c r="N124" s="10">
        <v>40000</v>
      </c>
      <c r="O124" s="19">
        <v>1</v>
      </c>
      <c r="P124" s="10">
        <v>2019</v>
      </c>
    </row>
    <row r="125" spans="1:17" x14ac:dyDescent="0.35">
      <c r="A125" s="11" t="s">
        <v>124</v>
      </c>
      <c r="B125" s="11" t="s">
        <v>1062</v>
      </c>
      <c r="D125" s="10" t="s">
        <v>816</v>
      </c>
      <c r="E125" s="10" t="s">
        <v>811</v>
      </c>
      <c r="F125" s="10" t="s">
        <v>819</v>
      </c>
      <c r="G125" s="10" t="s">
        <v>1063</v>
      </c>
      <c r="H125" s="12" t="s">
        <v>1064</v>
      </c>
      <c r="I125" s="10">
        <v>37000</v>
      </c>
      <c r="J125" s="10">
        <v>32</v>
      </c>
      <c r="K125" s="10">
        <v>71300</v>
      </c>
      <c r="L125" s="19">
        <v>0.95</v>
      </c>
      <c r="M125" s="10">
        <f>K125*0.15</f>
        <v>10695</v>
      </c>
      <c r="N125" s="33">
        <f>32000000/257</f>
        <v>124513.6186770428</v>
      </c>
      <c r="O125" s="19">
        <v>0.85</v>
      </c>
      <c r="P125" s="10">
        <v>2019</v>
      </c>
    </row>
    <row r="126" spans="1:17" x14ac:dyDescent="0.35">
      <c r="A126" s="11" t="s">
        <v>124</v>
      </c>
      <c r="B126" s="11" t="s">
        <v>1065</v>
      </c>
      <c r="D126" s="10" t="s">
        <v>816</v>
      </c>
      <c r="E126" s="10" t="s">
        <v>811</v>
      </c>
      <c r="F126" s="10" t="s">
        <v>812</v>
      </c>
      <c r="G126" s="10" t="s">
        <v>1066</v>
      </c>
      <c r="H126" s="12" t="s">
        <v>1067</v>
      </c>
      <c r="I126" s="10">
        <v>15500</v>
      </c>
      <c r="J126" s="10">
        <v>15</v>
      </c>
      <c r="K126" s="10">
        <v>0</v>
      </c>
      <c r="L126" s="19"/>
      <c r="M126" s="10">
        <v>0</v>
      </c>
      <c r="N126" s="10">
        <v>80000</v>
      </c>
      <c r="O126" s="19">
        <v>0.95</v>
      </c>
      <c r="P126" s="10">
        <v>2019</v>
      </c>
    </row>
    <row r="127" spans="1:17" x14ac:dyDescent="0.35">
      <c r="A127" s="11" t="s">
        <v>124</v>
      </c>
      <c r="B127" s="11" t="s">
        <v>1068</v>
      </c>
      <c r="D127" s="10" t="s">
        <v>816</v>
      </c>
      <c r="E127" s="10" t="s">
        <v>811</v>
      </c>
      <c r="F127" s="14" t="s">
        <v>823</v>
      </c>
      <c r="G127" s="10" t="s">
        <v>1069</v>
      </c>
      <c r="H127" s="12" t="s">
        <v>1070</v>
      </c>
      <c r="I127" s="10">
        <v>3700</v>
      </c>
      <c r="J127" s="10">
        <v>22</v>
      </c>
      <c r="K127" s="10">
        <v>4600</v>
      </c>
      <c r="L127" s="19">
        <v>0.95</v>
      </c>
      <c r="M127" s="10">
        <v>250</v>
      </c>
      <c r="N127" s="10">
        <v>14000</v>
      </c>
      <c r="O127" s="19">
        <v>0.95</v>
      </c>
      <c r="P127" s="10">
        <v>2019</v>
      </c>
    </row>
    <row r="128" spans="1:17" x14ac:dyDescent="0.35">
      <c r="A128" s="11" t="s">
        <v>128</v>
      </c>
      <c r="B128" s="12" t="s">
        <v>1071</v>
      </c>
      <c r="C128" s="12"/>
      <c r="D128" s="10" t="s">
        <v>816</v>
      </c>
      <c r="E128" s="10" t="s">
        <v>811</v>
      </c>
      <c r="F128" s="10" t="s">
        <v>812</v>
      </c>
      <c r="G128" s="10" t="s">
        <v>1009</v>
      </c>
      <c r="H128" s="12" t="s">
        <v>1072</v>
      </c>
      <c r="I128" s="34">
        <v>12000</v>
      </c>
      <c r="J128" s="12">
        <v>6.5</v>
      </c>
      <c r="K128" s="12" t="s">
        <v>1043</v>
      </c>
      <c r="M128" s="12"/>
      <c r="N128" s="12"/>
      <c r="O128" s="12"/>
      <c r="P128" s="14">
        <v>2016</v>
      </c>
    </row>
    <row r="129" spans="1:16" x14ac:dyDescent="0.35">
      <c r="A129" s="11" t="s">
        <v>128</v>
      </c>
      <c r="B129" s="12" t="s">
        <v>1073</v>
      </c>
      <c r="C129" s="12"/>
      <c r="D129" s="10" t="s">
        <v>816</v>
      </c>
      <c r="E129" s="10" t="s">
        <v>811</v>
      </c>
      <c r="F129" s="10" t="s">
        <v>819</v>
      </c>
      <c r="G129" s="10" t="s">
        <v>1009</v>
      </c>
      <c r="H129" s="12" t="s">
        <v>1074</v>
      </c>
      <c r="I129" s="34">
        <v>30000</v>
      </c>
      <c r="J129" s="12">
        <v>12.5</v>
      </c>
      <c r="K129" s="15">
        <v>14600</v>
      </c>
      <c r="L129" s="19">
        <v>1</v>
      </c>
      <c r="M129" s="12"/>
      <c r="N129" s="12"/>
      <c r="O129" s="12"/>
      <c r="P129" s="14">
        <v>2016</v>
      </c>
    </row>
    <row r="130" spans="1:16" x14ac:dyDescent="0.35">
      <c r="A130" s="11" t="s">
        <v>128</v>
      </c>
      <c r="B130" s="12" t="s">
        <v>1075</v>
      </c>
      <c r="C130" s="12"/>
      <c r="D130" s="10" t="s">
        <v>816</v>
      </c>
      <c r="E130" s="10" t="s">
        <v>811</v>
      </c>
      <c r="F130" s="10" t="s">
        <v>812</v>
      </c>
      <c r="G130" s="10" t="s">
        <v>1009</v>
      </c>
      <c r="H130" s="12"/>
      <c r="I130" s="34">
        <v>3000</v>
      </c>
      <c r="J130" s="12">
        <v>6.5</v>
      </c>
      <c r="K130" s="12" t="s">
        <v>1043</v>
      </c>
      <c r="L130" s="12"/>
      <c r="M130" s="12"/>
      <c r="N130" s="12"/>
      <c r="O130" s="12"/>
      <c r="P130" s="14">
        <v>2016</v>
      </c>
    </row>
    <row r="131" spans="1:16" x14ac:dyDescent="0.35">
      <c r="A131" s="11" t="s">
        <v>128</v>
      </c>
      <c r="B131" s="12" t="s">
        <v>22</v>
      </c>
      <c r="C131" s="12"/>
      <c r="D131" s="10" t="s">
        <v>816</v>
      </c>
      <c r="E131" s="10" t="s">
        <v>811</v>
      </c>
      <c r="F131" s="10" t="s">
        <v>819</v>
      </c>
      <c r="G131" s="10" t="s">
        <v>882</v>
      </c>
      <c r="H131" s="12" t="s">
        <v>1076</v>
      </c>
      <c r="I131" s="15">
        <v>39000</v>
      </c>
      <c r="J131" s="12">
        <v>28</v>
      </c>
      <c r="K131" s="15">
        <v>53000</v>
      </c>
      <c r="L131" s="19">
        <v>0.8</v>
      </c>
      <c r="M131" s="35">
        <v>3200</v>
      </c>
      <c r="N131" s="35">
        <v>155000</v>
      </c>
      <c r="O131" s="35">
        <v>106</v>
      </c>
      <c r="P131" s="14">
        <v>2016</v>
      </c>
    </row>
    <row r="132" spans="1:16" x14ac:dyDescent="0.35">
      <c r="A132" s="11" t="s">
        <v>128</v>
      </c>
      <c r="B132" s="12" t="s">
        <v>1077</v>
      </c>
      <c r="C132" s="12"/>
      <c r="D132" s="10" t="s">
        <v>816</v>
      </c>
      <c r="E132" s="10" t="s">
        <v>811</v>
      </c>
      <c r="F132" s="14" t="s">
        <v>823</v>
      </c>
      <c r="G132" s="10" t="s">
        <v>1009</v>
      </c>
      <c r="H132" s="12">
        <v>9</v>
      </c>
      <c r="I132" s="34">
        <v>6000</v>
      </c>
      <c r="J132" s="12">
        <v>10.5</v>
      </c>
      <c r="K132" s="15">
        <v>1000</v>
      </c>
      <c r="L132" s="12"/>
      <c r="M132" s="12"/>
      <c r="N132" s="12"/>
      <c r="O132" s="12"/>
      <c r="P132" s="14">
        <v>2016</v>
      </c>
    </row>
  </sheetData>
  <dataValidations count="2">
    <dataValidation type="list" allowBlank="1" showInputMessage="1" showErrorMessage="1" sqref="E104:E112 E64:E82 E123:E132" xr:uid="{00000000-0002-0000-0200-000000000000}">
      <formula1>"Oui , Non"</formula1>
    </dataValidation>
    <dataValidation type="list" allowBlank="1" showInputMessage="1" showErrorMessage="1" sqref="D64:D70 D77:D82 D104:D112 D123:D132" xr:uid="{00000000-0002-0000-0200-000001000000}">
      <formula1>"Interne , Externe"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9"/>
  <sheetViews>
    <sheetView showGridLines="0" zoomScale="80" zoomScaleNormal="80" workbookViewId="0">
      <pane xSplit="3" ySplit="1" topLeftCell="D215" activePane="bottomRight" state="frozen"/>
      <selection pane="topRight" activeCell="C1" sqref="C1"/>
      <selection pane="bottomLeft" activeCell="A2" sqref="A2"/>
      <selection pane="bottomRight" activeCell="H255" sqref="H255"/>
    </sheetView>
  </sheetViews>
  <sheetFormatPr baseColWidth="10" defaultRowHeight="14.5" x14ac:dyDescent="0.35"/>
  <cols>
    <col min="1" max="1" width="26.54296875" bestFit="1" customWidth="1"/>
    <col min="2" max="2" width="38.36328125" bestFit="1" customWidth="1"/>
    <col min="3" max="9" width="37.36328125" customWidth="1"/>
    <col min="10" max="10" width="19" bestFit="1" customWidth="1"/>
    <col min="11" max="11" width="18.453125" bestFit="1" customWidth="1"/>
    <col min="12" max="12" width="18.6328125" bestFit="1" customWidth="1"/>
    <col min="13" max="13" width="14.453125" bestFit="1" customWidth="1"/>
    <col min="14" max="14" width="19.08984375" bestFit="1" customWidth="1"/>
    <col min="15" max="15" width="18.54296875" bestFit="1" customWidth="1"/>
    <col min="16" max="16" width="13.36328125" bestFit="1" customWidth="1"/>
    <col min="17" max="17" width="18.54296875" bestFit="1" customWidth="1"/>
    <col min="18" max="19" width="14.453125" bestFit="1" customWidth="1"/>
    <col min="20" max="20" width="12.54296875" bestFit="1" customWidth="1"/>
    <col min="21" max="21" width="3" customWidth="1"/>
    <col min="22" max="22" width="4" customWidth="1"/>
    <col min="23" max="23" width="7" customWidth="1"/>
  </cols>
  <sheetData>
    <row r="1" spans="1:9" x14ac:dyDescent="0.35">
      <c r="A1" s="1" t="s">
        <v>230</v>
      </c>
      <c r="B1" s="1" t="s">
        <v>231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s="5" customFormat="1" x14ac:dyDescent="0.35">
      <c r="A2" s="4" t="s">
        <v>229</v>
      </c>
      <c r="B2" s="4" t="s">
        <v>790</v>
      </c>
      <c r="C2" s="4" t="s">
        <v>789</v>
      </c>
      <c r="D2" s="6"/>
      <c r="E2" s="7" t="s">
        <v>787</v>
      </c>
      <c r="F2" s="4"/>
      <c r="G2" s="4">
        <v>33610</v>
      </c>
      <c r="H2" s="7" t="s">
        <v>788</v>
      </c>
      <c r="I2" s="4"/>
    </row>
    <row r="3" spans="1:9" s="5" customFormat="1" x14ac:dyDescent="0.35">
      <c r="A3" s="4" t="s">
        <v>138</v>
      </c>
      <c r="B3" s="4" t="s">
        <v>228</v>
      </c>
      <c r="C3" s="4" t="s">
        <v>133</v>
      </c>
      <c r="D3" s="4">
        <v>3016607930111</v>
      </c>
      <c r="E3" s="4" t="s">
        <v>134</v>
      </c>
      <c r="F3" s="4" t="s">
        <v>135</v>
      </c>
      <c r="G3" s="4">
        <v>51420</v>
      </c>
      <c r="H3" s="4" t="s">
        <v>136</v>
      </c>
      <c r="I3" s="4" t="s">
        <v>137</v>
      </c>
    </row>
    <row r="4" spans="1:9" s="5" customFormat="1" x14ac:dyDescent="0.35">
      <c r="A4" s="4" t="s">
        <v>139</v>
      </c>
      <c r="B4" s="4" t="s">
        <v>227</v>
      </c>
      <c r="C4" s="4" t="s">
        <v>139</v>
      </c>
      <c r="D4" s="4">
        <v>3017601051505</v>
      </c>
      <c r="E4" s="4" t="s">
        <v>141</v>
      </c>
      <c r="F4" s="4"/>
      <c r="G4" s="4">
        <v>44360</v>
      </c>
      <c r="H4" s="4" t="s">
        <v>144</v>
      </c>
      <c r="I4" s="4" t="s">
        <v>146</v>
      </c>
    </row>
    <row r="5" spans="1:9" x14ac:dyDescent="0.35">
      <c r="A5" s="1" t="s">
        <v>139</v>
      </c>
      <c r="B5" s="1"/>
      <c r="C5" s="1" t="s">
        <v>140</v>
      </c>
      <c r="D5" s="1">
        <v>3017602100004</v>
      </c>
      <c r="E5" s="1" t="s">
        <v>142</v>
      </c>
      <c r="F5" s="1"/>
      <c r="G5" s="1">
        <v>60128</v>
      </c>
      <c r="H5" s="1" t="s">
        <v>8</v>
      </c>
      <c r="I5" s="1" t="s">
        <v>147</v>
      </c>
    </row>
    <row r="6" spans="1:9" x14ac:dyDescent="0.35">
      <c r="A6" s="1" t="s">
        <v>139</v>
      </c>
      <c r="B6" s="1"/>
      <c r="C6" s="1" t="s">
        <v>9</v>
      </c>
      <c r="D6" s="1">
        <v>3017600002102</v>
      </c>
      <c r="E6" s="1" t="s">
        <v>143</v>
      </c>
      <c r="F6" s="1"/>
      <c r="G6" s="1">
        <v>60730</v>
      </c>
      <c r="H6" s="1" t="s">
        <v>145</v>
      </c>
      <c r="I6" s="1"/>
    </row>
    <row r="7" spans="1:9" x14ac:dyDescent="0.35">
      <c r="A7" s="1" t="s">
        <v>10</v>
      </c>
      <c r="B7" s="1" t="s">
        <v>226</v>
      </c>
      <c r="C7" s="1" t="s">
        <v>148</v>
      </c>
      <c r="D7" s="1">
        <v>8003160999919</v>
      </c>
      <c r="E7" s="1" t="s">
        <v>150</v>
      </c>
      <c r="F7" s="1" t="s">
        <v>152</v>
      </c>
      <c r="G7" s="1" t="s">
        <v>154</v>
      </c>
      <c r="H7" s="1" t="s">
        <v>156</v>
      </c>
      <c r="I7" s="2" t="s">
        <v>158</v>
      </c>
    </row>
    <row r="8" spans="1:9" x14ac:dyDescent="0.35">
      <c r="A8" s="1" t="s">
        <v>10</v>
      </c>
      <c r="B8" s="1"/>
      <c r="C8" s="1" t="s">
        <v>149</v>
      </c>
      <c r="D8" s="1">
        <v>8003160030360</v>
      </c>
      <c r="E8" s="1" t="s">
        <v>151</v>
      </c>
      <c r="F8" s="1" t="s">
        <v>153</v>
      </c>
      <c r="G8" s="1" t="s">
        <v>155</v>
      </c>
      <c r="H8" s="1" t="s">
        <v>157</v>
      </c>
      <c r="I8" s="3" t="s">
        <v>159</v>
      </c>
    </row>
    <row r="9" spans="1:9" x14ac:dyDescent="0.35">
      <c r="A9" s="1" t="s">
        <v>11</v>
      </c>
      <c r="B9" s="1" t="s">
        <v>225</v>
      </c>
      <c r="C9" s="1" t="s">
        <v>11</v>
      </c>
      <c r="D9" s="1">
        <v>5600000024577</v>
      </c>
      <c r="E9" s="1" t="s">
        <v>163</v>
      </c>
      <c r="F9" s="1" t="s">
        <v>166</v>
      </c>
      <c r="G9" s="1" t="s">
        <v>12</v>
      </c>
      <c r="H9" s="1" t="s">
        <v>169</v>
      </c>
      <c r="I9" s="1" t="s">
        <v>170</v>
      </c>
    </row>
    <row r="10" spans="1:9" x14ac:dyDescent="0.35">
      <c r="A10" s="1" t="s">
        <v>11</v>
      </c>
      <c r="B10" s="1"/>
      <c r="C10" s="1" t="s">
        <v>160</v>
      </c>
      <c r="D10" s="1">
        <v>5600035124577</v>
      </c>
      <c r="E10" s="1" t="s">
        <v>164</v>
      </c>
      <c r="F10" s="1" t="s">
        <v>167</v>
      </c>
      <c r="G10" s="1">
        <v>33610</v>
      </c>
      <c r="H10" s="1" t="s">
        <v>13</v>
      </c>
      <c r="I10" s="1" t="s">
        <v>171</v>
      </c>
    </row>
    <row r="11" spans="1:9" x14ac:dyDescent="0.35">
      <c r="A11" s="1" t="s">
        <v>11</v>
      </c>
      <c r="B11" s="1"/>
      <c r="C11" s="1" t="s">
        <v>161</v>
      </c>
      <c r="D11" s="1">
        <v>3033992523527</v>
      </c>
      <c r="E11" s="1" t="s">
        <v>163</v>
      </c>
      <c r="F11" s="1" t="s">
        <v>166</v>
      </c>
      <c r="G11" s="1" t="s">
        <v>12</v>
      </c>
      <c r="H11" s="1" t="s">
        <v>169</v>
      </c>
      <c r="I11" s="1" t="s">
        <v>170</v>
      </c>
    </row>
    <row r="12" spans="1:9" x14ac:dyDescent="0.35">
      <c r="A12" s="1" t="s">
        <v>11</v>
      </c>
      <c r="B12" s="1"/>
      <c r="C12" s="1" t="s">
        <v>162</v>
      </c>
      <c r="D12" s="1">
        <v>5600023424577</v>
      </c>
      <c r="E12" s="1" t="s">
        <v>165</v>
      </c>
      <c r="F12" s="1" t="s">
        <v>168</v>
      </c>
      <c r="G12" s="1" t="s">
        <v>14</v>
      </c>
      <c r="H12" s="1" t="s">
        <v>15</v>
      </c>
      <c r="I12" s="1" t="s">
        <v>172</v>
      </c>
    </row>
    <row r="13" spans="1:9" x14ac:dyDescent="0.35">
      <c r="A13" s="1" t="s">
        <v>174</v>
      </c>
      <c r="B13" s="1" t="s">
        <v>224</v>
      </c>
      <c r="C13" s="1" t="s">
        <v>174</v>
      </c>
      <c r="D13" s="1">
        <v>3025730635008</v>
      </c>
      <c r="E13" s="1" t="s">
        <v>173</v>
      </c>
      <c r="F13" s="1"/>
      <c r="G13" s="1">
        <v>13440</v>
      </c>
      <c r="H13" s="1" t="s">
        <v>16</v>
      </c>
      <c r="I13" s="1"/>
    </row>
    <row r="14" spans="1:9" x14ac:dyDescent="0.35">
      <c r="A14" s="1" t="s">
        <v>17</v>
      </c>
      <c r="B14" s="1" t="s">
        <v>223</v>
      </c>
      <c r="C14" s="1" t="s">
        <v>175</v>
      </c>
      <c r="D14" s="1">
        <v>3025731606496</v>
      </c>
      <c r="E14" s="1" t="s">
        <v>190</v>
      </c>
      <c r="F14" s="1" t="s">
        <v>201</v>
      </c>
      <c r="G14" s="1">
        <v>84700</v>
      </c>
      <c r="H14" s="1" t="s">
        <v>18</v>
      </c>
      <c r="I14" s="1"/>
    </row>
    <row r="15" spans="1:9" x14ac:dyDescent="0.35">
      <c r="A15" s="1" t="s">
        <v>17</v>
      </c>
      <c r="B15" s="1"/>
      <c r="C15" s="1" t="s">
        <v>19</v>
      </c>
      <c r="D15" s="1">
        <v>3025730618001</v>
      </c>
      <c r="E15" s="1" t="s">
        <v>191</v>
      </c>
      <c r="F15" s="1" t="s">
        <v>202</v>
      </c>
      <c r="G15" s="1">
        <v>13440</v>
      </c>
      <c r="H15" s="1" t="s">
        <v>16</v>
      </c>
      <c r="I15" s="1" t="s">
        <v>220</v>
      </c>
    </row>
    <row r="16" spans="1:9" x14ac:dyDescent="0.35">
      <c r="A16" s="1" t="s">
        <v>17</v>
      </c>
      <c r="B16" s="1"/>
      <c r="C16" s="1" t="s">
        <v>176</v>
      </c>
      <c r="D16" s="1">
        <v>3025730613006</v>
      </c>
      <c r="E16" s="1" t="s">
        <v>192</v>
      </c>
      <c r="F16" s="1" t="s">
        <v>203</v>
      </c>
      <c r="G16" s="1">
        <v>83340</v>
      </c>
      <c r="H16" s="1" t="s">
        <v>216</v>
      </c>
      <c r="I16" s="1"/>
    </row>
    <row r="17" spans="1:9" x14ac:dyDescent="0.35">
      <c r="A17" s="1" t="s">
        <v>17</v>
      </c>
      <c r="B17" s="1"/>
      <c r="C17" s="1" t="s">
        <v>177</v>
      </c>
      <c r="D17" s="1">
        <v>3025730614003</v>
      </c>
      <c r="E17" s="1" t="s">
        <v>192</v>
      </c>
      <c r="F17" s="1" t="s">
        <v>204</v>
      </c>
      <c r="G17" s="1">
        <v>83340</v>
      </c>
      <c r="H17" s="1" t="s">
        <v>216</v>
      </c>
      <c r="I17" s="1"/>
    </row>
    <row r="18" spans="1:9" x14ac:dyDescent="0.35">
      <c r="A18" s="1" t="s">
        <v>17</v>
      </c>
      <c r="B18" s="1"/>
      <c r="C18" s="1" t="s">
        <v>178</v>
      </c>
      <c r="D18" s="1">
        <v>3025730600006</v>
      </c>
      <c r="E18" s="1" t="s">
        <v>193</v>
      </c>
      <c r="F18" s="1" t="s">
        <v>205</v>
      </c>
      <c r="G18" s="1">
        <v>84300</v>
      </c>
      <c r="H18" s="1" t="s">
        <v>20</v>
      </c>
      <c r="I18" s="1"/>
    </row>
    <row r="19" spans="1:9" x14ac:dyDescent="0.35">
      <c r="A19" s="1" t="s">
        <v>17</v>
      </c>
      <c r="B19" s="1"/>
      <c r="C19" s="1" t="s">
        <v>179</v>
      </c>
      <c r="D19" s="1">
        <v>3025739932061</v>
      </c>
      <c r="E19" s="1" t="s">
        <v>194</v>
      </c>
      <c r="F19" s="1" t="s">
        <v>206</v>
      </c>
      <c r="G19" s="1">
        <v>84300</v>
      </c>
      <c r="H19" s="1" t="s">
        <v>20</v>
      </c>
      <c r="I19" s="1"/>
    </row>
    <row r="20" spans="1:9" x14ac:dyDescent="0.35">
      <c r="A20" s="1" t="s">
        <v>17</v>
      </c>
      <c r="B20" s="1"/>
      <c r="C20" s="1" t="s">
        <v>180</v>
      </c>
      <c r="D20" s="1">
        <v>3025730621001</v>
      </c>
      <c r="E20" s="1" t="s">
        <v>195</v>
      </c>
      <c r="F20" s="1" t="s">
        <v>207</v>
      </c>
      <c r="G20" s="1">
        <v>13300</v>
      </c>
      <c r="H20" s="1" t="s">
        <v>217</v>
      </c>
      <c r="I20" s="1" t="s">
        <v>221</v>
      </c>
    </row>
    <row r="21" spans="1:9" x14ac:dyDescent="0.35">
      <c r="A21" s="1" t="s">
        <v>17</v>
      </c>
      <c r="B21" s="1"/>
      <c r="C21" s="1" t="s">
        <v>181</v>
      </c>
      <c r="D21" s="1">
        <v>3025730612009</v>
      </c>
      <c r="E21" s="1" t="s">
        <v>192</v>
      </c>
      <c r="F21" s="1" t="s">
        <v>203</v>
      </c>
      <c r="G21" s="1">
        <v>83340</v>
      </c>
      <c r="H21" s="1" t="s">
        <v>216</v>
      </c>
      <c r="I21" s="1"/>
    </row>
    <row r="22" spans="1:9" x14ac:dyDescent="0.35">
      <c r="A22" s="1" t="s">
        <v>17</v>
      </c>
      <c r="B22" s="1"/>
      <c r="C22" s="1" t="s">
        <v>182</v>
      </c>
      <c r="D22" s="1">
        <v>3025730611002</v>
      </c>
      <c r="E22" s="1" t="s">
        <v>192</v>
      </c>
      <c r="F22" s="1" t="s">
        <v>208</v>
      </c>
      <c r="G22" s="1">
        <v>83340</v>
      </c>
      <c r="H22" s="1" t="s">
        <v>216</v>
      </c>
      <c r="I22" s="1"/>
    </row>
    <row r="23" spans="1:9" x14ac:dyDescent="0.35">
      <c r="A23" s="1" t="s">
        <v>17</v>
      </c>
      <c r="B23" s="1"/>
      <c r="C23" s="1" t="s">
        <v>183</v>
      </c>
      <c r="D23" s="1">
        <v>3025730616007</v>
      </c>
      <c r="E23" s="1" t="s">
        <v>192</v>
      </c>
      <c r="F23" s="1" t="s">
        <v>209</v>
      </c>
      <c r="G23" s="1">
        <v>83340</v>
      </c>
      <c r="H23" s="1" t="s">
        <v>216</v>
      </c>
      <c r="I23" s="1"/>
    </row>
    <row r="24" spans="1:9" x14ac:dyDescent="0.35">
      <c r="A24" s="1" t="s">
        <v>17</v>
      </c>
      <c r="B24" s="1"/>
      <c r="C24" s="1" t="s">
        <v>184</v>
      </c>
      <c r="D24" s="1">
        <v>3025730000103</v>
      </c>
      <c r="E24" s="1" t="s">
        <v>192</v>
      </c>
      <c r="F24" s="1" t="s">
        <v>210</v>
      </c>
      <c r="G24" s="1">
        <v>83340</v>
      </c>
      <c r="H24" s="1" t="s">
        <v>216</v>
      </c>
      <c r="I24" s="1"/>
    </row>
    <row r="25" spans="1:9" x14ac:dyDescent="0.35">
      <c r="A25" s="1" t="s">
        <v>17</v>
      </c>
      <c r="B25" s="1"/>
      <c r="C25" s="1" t="s">
        <v>185</v>
      </c>
      <c r="D25" s="1">
        <v>3025739944033</v>
      </c>
      <c r="E25" s="1" t="s">
        <v>196</v>
      </c>
      <c r="F25" s="1" t="s">
        <v>211</v>
      </c>
      <c r="G25" s="1">
        <v>13140</v>
      </c>
      <c r="H25" s="1" t="s">
        <v>21</v>
      </c>
      <c r="I25" s="1" t="s">
        <v>221</v>
      </c>
    </row>
    <row r="26" spans="1:9" x14ac:dyDescent="0.35">
      <c r="A26" s="1" t="s">
        <v>17</v>
      </c>
      <c r="B26" s="1"/>
      <c r="C26" s="1" t="s">
        <v>186</v>
      </c>
      <c r="D26" s="1">
        <v>3025730622008</v>
      </c>
      <c r="E26" s="1" t="s">
        <v>197</v>
      </c>
      <c r="F26" s="1" t="s">
        <v>212</v>
      </c>
      <c r="G26" s="1">
        <v>84304</v>
      </c>
      <c r="H26" s="1" t="s">
        <v>20</v>
      </c>
      <c r="I26" s="1"/>
    </row>
    <row r="27" spans="1:9" x14ac:dyDescent="0.35">
      <c r="A27" s="1" t="s">
        <v>17</v>
      </c>
      <c r="B27" s="1"/>
      <c r="C27" s="1" t="s">
        <v>187</v>
      </c>
      <c r="D27" s="1">
        <v>3025739932016</v>
      </c>
      <c r="E27" s="1" t="s">
        <v>198</v>
      </c>
      <c r="F27" s="1" t="s">
        <v>213</v>
      </c>
      <c r="G27" s="1">
        <v>13300</v>
      </c>
      <c r="H27" s="1" t="s">
        <v>218</v>
      </c>
      <c r="I27" s="1" t="s">
        <v>222</v>
      </c>
    </row>
    <row r="28" spans="1:9" x14ac:dyDescent="0.35">
      <c r="A28" s="1" t="s">
        <v>17</v>
      </c>
      <c r="B28" s="1"/>
      <c r="C28" s="1" t="s">
        <v>188</v>
      </c>
      <c r="D28" s="1">
        <v>3025730616004</v>
      </c>
      <c r="E28" s="1" t="s">
        <v>192</v>
      </c>
      <c r="F28" s="1" t="s">
        <v>214</v>
      </c>
      <c r="G28" s="1">
        <v>83340</v>
      </c>
      <c r="H28" s="1" t="s">
        <v>216</v>
      </c>
      <c r="I28" s="1"/>
    </row>
    <row r="29" spans="1:9" x14ac:dyDescent="0.35">
      <c r="A29" s="1" t="s">
        <v>17</v>
      </c>
      <c r="B29" s="1"/>
      <c r="C29" s="1" t="s">
        <v>24</v>
      </c>
      <c r="D29" s="1">
        <v>3025731606489</v>
      </c>
      <c r="E29" s="1" t="s">
        <v>199</v>
      </c>
      <c r="F29" s="1" t="s">
        <v>215</v>
      </c>
      <c r="G29" s="1">
        <v>83210</v>
      </c>
      <c r="H29" s="1" t="s">
        <v>219</v>
      </c>
      <c r="I29" s="1"/>
    </row>
    <row r="30" spans="1:9" x14ac:dyDescent="0.35">
      <c r="A30" s="1" t="s">
        <v>17</v>
      </c>
      <c r="B30" s="1"/>
      <c r="C30" s="1" t="s">
        <v>189</v>
      </c>
      <c r="D30" s="1">
        <v>3025739920006</v>
      </c>
      <c r="E30" s="1" t="s">
        <v>200</v>
      </c>
      <c r="F30" s="1" t="s">
        <v>197</v>
      </c>
      <c r="G30" s="1">
        <v>84304</v>
      </c>
      <c r="H30" s="1" t="s">
        <v>20</v>
      </c>
      <c r="I30" s="1" t="s">
        <v>25</v>
      </c>
    </row>
    <row r="31" spans="1:9" s="5" customFormat="1" x14ac:dyDescent="0.35">
      <c r="A31" s="4" t="s">
        <v>26</v>
      </c>
      <c r="B31" s="4" t="s">
        <v>232</v>
      </c>
      <c r="C31" s="4" t="s">
        <v>233</v>
      </c>
      <c r="D31" s="4">
        <v>3025740000400</v>
      </c>
      <c r="E31" s="4" t="s">
        <v>234</v>
      </c>
      <c r="F31" s="4"/>
      <c r="G31" s="4">
        <v>10120</v>
      </c>
      <c r="H31" s="4" t="s">
        <v>236</v>
      </c>
      <c r="I31" s="4" t="s">
        <v>27</v>
      </c>
    </row>
    <row r="32" spans="1:9" x14ac:dyDescent="0.35">
      <c r="A32" s="1" t="s">
        <v>26</v>
      </c>
      <c r="B32" s="1"/>
      <c r="C32" s="1" t="s">
        <v>234</v>
      </c>
      <c r="D32" s="1">
        <v>4210885920102</v>
      </c>
      <c r="E32" s="1" t="s">
        <v>235</v>
      </c>
      <c r="F32" s="1"/>
      <c r="G32" s="1">
        <v>10120</v>
      </c>
      <c r="H32" s="1" t="s">
        <v>237</v>
      </c>
      <c r="I32" s="1"/>
    </row>
    <row r="33" spans="1:9" x14ac:dyDescent="0.35">
      <c r="A33" s="1" t="s">
        <v>28</v>
      </c>
      <c r="B33" s="1" t="s">
        <v>238</v>
      </c>
      <c r="C33" s="1" t="s">
        <v>239</v>
      </c>
      <c r="D33" s="1">
        <v>8430490006400</v>
      </c>
      <c r="E33" s="1" t="s">
        <v>243</v>
      </c>
      <c r="F33" s="1"/>
      <c r="G33" s="1">
        <v>28053</v>
      </c>
      <c r="H33" s="1" t="s">
        <v>29</v>
      </c>
      <c r="I33" s="1"/>
    </row>
    <row r="34" spans="1:9" x14ac:dyDescent="0.35">
      <c r="A34" s="1" t="s">
        <v>28</v>
      </c>
      <c r="B34" s="1"/>
      <c r="C34" s="1" t="s">
        <v>240</v>
      </c>
      <c r="D34" s="1">
        <v>8430490006100</v>
      </c>
      <c r="E34" s="1" t="s">
        <v>244</v>
      </c>
      <c r="F34" s="1" t="s">
        <v>246</v>
      </c>
      <c r="G34" s="1">
        <v>45224</v>
      </c>
      <c r="H34" s="1" t="s">
        <v>248</v>
      </c>
      <c r="I34" s="1"/>
    </row>
    <row r="35" spans="1:9" x14ac:dyDescent="0.35">
      <c r="A35" s="1" t="s">
        <v>28</v>
      </c>
      <c r="B35" s="1"/>
      <c r="C35" s="1" t="s">
        <v>241</v>
      </c>
      <c r="D35" s="1">
        <v>8430490006300</v>
      </c>
      <c r="E35" s="1" t="s">
        <v>164</v>
      </c>
      <c r="F35" s="1" t="s">
        <v>167</v>
      </c>
      <c r="G35" s="1">
        <v>33800</v>
      </c>
      <c r="H35" s="1" t="s">
        <v>13</v>
      </c>
      <c r="I35" s="1" t="s">
        <v>171</v>
      </c>
    </row>
    <row r="36" spans="1:9" x14ac:dyDescent="0.35">
      <c r="A36" s="1" t="s">
        <v>28</v>
      </c>
      <c r="B36" s="1"/>
      <c r="C36" s="1" t="s">
        <v>242</v>
      </c>
      <c r="D36" s="1">
        <v>8430490006200</v>
      </c>
      <c r="E36" s="1" t="s">
        <v>245</v>
      </c>
      <c r="F36" s="1" t="s">
        <v>247</v>
      </c>
      <c r="G36" s="1">
        <v>24010</v>
      </c>
      <c r="H36" s="1" t="s">
        <v>249</v>
      </c>
      <c r="I36" s="3" t="s">
        <v>250</v>
      </c>
    </row>
    <row r="37" spans="1:9" x14ac:dyDescent="0.35">
      <c r="A37" s="1" t="s">
        <v>30</v>
      </c>
      <c r="B37" s="1" t="s">
        <v>251</v>
      </c>
      <c r="C37" s="1" t="s">
        <v>307</v>
      </c>
      <c r="D37" s="1">
        <v>3025760000401</v>
      </c>
      <c r="E37" s="1" t="s">
        <v>256</v>
      </c>
      <c r="F37" s="1"/>
      <c r="G37" s="1">
        <v>3500</v>
      </c>
      <c r="H37" s="1" t="s">
        <v>31</v>
      </c>
      <c r="I37" s="1"/>
    </row>
    <row r="38" spans="1:9" x14ac:dyDescent="0.35">
      <c r="A38" s="1" t="s">
        <v>30</v>
      </c>
      <c r="B38" s="1"/>
      <c r="C38" s="1" t="s">
        <v>252</v>
      </c>
      <c r="D38" s="1">
        <v>3025760000708</v>
      </c>
      <c r="E38" s="1" t="s">
        <v>257</v>
      </c>
      <c r="F38" s="1"/>
      <c r="G38" s="1">
        <v>3400</v>
      </c>
      <c r="H38" s="1" t="s">
        <v>32</v>
      </c>
      <c r="I38" s="1"/>
    </row>
    <row r="39" spans="1:9" x14ac:dyDescent="0.35">
      <c r="A39" s="1" t="s">
        <v>30</v>
      </c>
      <c r="B39" s="1"/>
      <c r="C39" s="1" t="s">
        <v>253</v>
      </c>
      <c r="D39" s="1">
        <v>3025760000609</v>
      </c>
      <c r="E39" s="1" t="s">
        <v>258</v>
      </c>
      <c r="F39" s="1"/>
      <c r="G39" s="1">
        <v>3400</v>
      </c>
      <c r="H39" s="1" t="s">
        <v>32</v>
      </c>
      <c r="I39" s="1"/>
    </row>
    <row r="40" spans="1:9" x14ac:dyDescent="0.35">
      <c r="A40" s="1" t="s">
        <v>30</v>
      </c>
      <c r="B40" s="1"/>
      <c r="C40" s="1" t="s">
        <v>254</v>
      </c>
      <c r="D40" s="1">
        <v>3025760000500</v>
      </c>
      <c r="E40" s="1" t="s">
        <v>259</v>
      </c>
      <c r="F40" s="1"/>
      <c r="G40" s="1">
        <v>3260</v>
      </c>
      <c r="H40" s="1" t="s">
        <v>33</v>
      </c>
      <c r="I40" s="1"/>
    </row>
    <row r="41" spans="1:9" x14ac:dyDescent="0.35">
      <c r="A41" s="1" t="s">
        <v>30</v>
      </c>
      <c r="B41" s="1"/>
      <c r="C41" s="1" t="s">
        <v>255</v>
      </c>
      <c r="D41" s="1">
        <v>3025760000302</v>
      </c>
      <c r="E41" s="1" t="s">
        <v>260</v>
      </c>
      <c r="F41" s="1"/>
      <c r="G41" s="1">
        <v>3300</v>
      </c>
      <c r="H41" s="1" t="s">
        <v>261</v>
      </c>
      <c r="I41" s="1" t="s">
        <v>34</v>
      </c>
    </row>
    <row r="42" spans="1:9" x14ac:dyDescent="0.35">
      <c r="A42" s="1" t="s">
        <v>35</v>
      </c>
      <c r="B42" s="1" t="s">
        <v>262</v>
      </c>
      <c r="C42" s="1" t="s">
        <v>35</v>
      </c>
      <c r="D42" s="1">
        <v>3025710000109</v>
      </c>
      <c r="E42" s="1" t="s">
        <v>265</v>
      </c>
      <c r="F42" s="1"/>
      <c r="G42" s="1">
        <v>16700</v>
      </c>
      <c r="H42" s="1" t="s">
        <v>36</v>
      </c>
      <c r="I42" s="1"/>
    </row>
    <row r="43" spans="1:9" x14ac:dyDescent="0.35">
      <c r="A43" s="1" t="s">
        <v>35</v>
      </c>
      <c r="B43" s="1"/>
      <c r="C43" s="1" t="s">
        <v>263</v>
      </c>
      <c r="D43" s="1">
        <v>3025715000005</v>
      </c>
      <c r="E43" s="1" t="s">
        <v>266</v>
      </c>
      <c r="F43" s="1" t="s">
        <v>268</v>
      </c>
      <c r="G43" s="1">
        <v>16160</v>
      </c>
      <c r="H43" s="1" t="s">
        <v>270</v>
      </c>
      <c r="I43" s="1"/>
    </row>
    <row r="44" spans="1:9" x14ac:dyDescent="0.35">
      <c r="A44" s="1" t="s">
        <v>35</v>
      </c>
      <c r="B44" s="1"/>
      <c r="C44" s="1" t="s">
        <v>264</v>
      </c>
      <c r="D44" s="1">
        <v>3025714000007</v>
      </c>
      <c r="E44" s="1" t="s">
        <v>267</v>
      </c>
      <c r="F44" s="1" t="s">
        <v>269</v>
      </c>
      <c r="G44" s="1">
        <v>17045</v>
      </c>
      <c r="H44" s="1" t="s">
        <v>271</v>
      </c>
      <c r="I44" s="1"/>
    </row>
    <row r="45" spans="1:9" x14ac:dyDescent="0.35">
      <c r="A45" s="1" t="s">
        <v>37</v>
      </c>
      <c r="B45" s="1" t="s">
        <v>272</v>
      </c>
      <c r="C45" s="1" t="s">
        <v>38</v>
      </c>
      <c r="D45" s="1">
        <v>3020731606484</v>
      </c>
      <c r="E45" s="1" t="s">
        <v>286</v>
      </c>
      <c r="F45" s="1"/>
      <c r="G45" s="1">
        <v>91220</v>
      </c>
      <c r="H45" s="1" t="s">
        <v>304</v>
      </c>
      <c r="I45" s="1"/>
    </row>
    <row r="46" spans="1:9" x14ac:dyDescent="0.35">
      <c r="A46" s="1" t="s">
        <v>37</v>
      </c>
      <c r="B46" s="1"/>
      <c r="C46" s="1" t="s">
        <v>273</v>
      </c>
      <c r="D46" s="1">
        <v>3020730000108</v>
      </c>
      <c r="E46" s="1" t="s">
        <v>287</v>
      </c>
      <c r="F46" s="1" t="s">
        <v>39</v>
      </c>
      <c r="G46" s="1">
        <v>77546</v>
      </c>
      <c r="H46" s="1" t="s">
        <v>305</v>
      </c>
      <c r="I46" s="1"/>
    </row>
    <row r="47" spans="1:9" x14ac:dyDescent="0.35">
      <c r="A47" s="1" t="s">
        <v>37</v>
      </c>
      <c r="B47" s="1"/>
      <c r="C47" s="1" t="s">
        <v>274</v>
      </c>
      <c r="D47" s="1">
        <v>3020730000177</v>
      </c>
      <c r="E47" s="1" t="s">
        <v>288</v>
      </c>
      <c r="F47" s="1" t="s">
        <v>292</v>
      </c>
      <c r="G47" s="1">
        <v>77546</v>
      </c>
      <c r="H47" s="1" t="s">
        <v>305</v>
      </c>
      <c r="I47" s="1"/>
    </row>
    <row r="48" spans="1:9" x14ac:dyDescent="0.35">
      <c r="A48" s="1" t="s">
        <v>37</v>
      </c>
      <c r="B48" s="1"/>
      <c r="C48" s="1" t="s">
        <v>275</v>
      </c>
      <c r="D48" s="1">
        <v>3027010990005</v>
      </c>
      <c r="E48" s="1" t="s">
        <v>288</v>
      </c>
      <c r="F48" s="1" t="s">
        <v>293</v>
      </c>
      <c r="G48" s="1">
        <v>77546</v>
      </c>
      <c r="H48" s="1" t="s">
        <v>305</v>
      </c>
      <c r="I48" s="1"/>
    </row>
    <row r="49" spans="1:9" x14ac:dyDescent="0.35">
      <c r="A49" s="1" t="s">
        <v>37</v>
      </c>
      <c r="B49" s="1"/>
      <c r="C49" s="1" t="s">
        <v>276</v>
      </c>
      <c r="D49" s="1">
        <v>3020730000146</v>
      </c>
      <c r="E49" s="1" t="s">
        <v>288</v>
      </c>
      <c r="F49" s="1" t="s">
        <v>294</v>
      </c>
      <c r="G49" s="1">
        <v>77546</v>
      </c>
      <c r="H49" s="1" t="s">
        <v>305</v>
      </c>
      <c r="I49" s="1"/>
    </row>
    <row r="50" spans="1:9" x14ac:dyDescent="0.35">
      <c r="A50" s="1" t="s">
        <v>37</v>
      </c>
      <c r="B50" s="1"/>
      <c r="C50" s="1" t="s">
        <v>277</v>
      </c>
      <c r="D50" s="1">
        <v>3020730000122</v>
      </c>
      <c r="E50" s="1" t="s">
        <v>288</v>
      </c>
      <c r="F50" s="1" t="s">
        <v>295</v>
      </c>
      <c r="G50" s="1">
        <v>77546</v>
      </c>
      <c r="H50" s="1" t="s">
        <v>305</v>
      </c>
      <c r="I50" s="1"/>
    </row>
    <row r="51" spans="1:9" x14ac:dyDescent="0.35">
      <c r="A51" s="1" t="s">
        <v>37</v>
      </c>
      <c r="B51" s="1"/>
      <c r="C51" s="1" t="s">
        <v>278</v>
      </c>
      <c r="D51" s="1">
        <v>7816179560011</v>
      </c>
      <c r="E51" s="1" t="s">
        <v>289</v>
      </c>
      <c r="F51" s="1" t="s">
        <v>296</v>
      </c>
      <c r="G51" s="1">
        <v>94619</v>
      </c>
      <c r="H51" s="1" t="s">
        <v>40</v>
      </c>
      <c r="I51" s="1"/>
    </row>
    <row r="52" spans="1:9" x14ac:dyDescent="0.35">
      <c r="A52" s="1" t="s">
        <v>37</v>
      </c>
      <c r="B52" s="1"/>
      <c r="C52" s="1" t="s">
        <v>279</v>
      </c>
      <c r="D52" s="1">
        <v>3020730000191</v>
      </c>
      <c r="E52" s="1" t="s">
        <v>288</v>
      </c>
      <c r="F52" s="1" t="s">
        <v>297</v>
      </c>
      <c r="G52" s="1">
        <v>77546</v>
      </c>
      <c r="H52" s="1" t="s">
        <v>305</v>
      </c>
      <c r="I52" s="1"/>
    </row>
    <row r="53" spans="1:9" x14ac:dyDescent="0.35">
      <c r="A53" s="1" t="s">
        <v>37</v>
      </c>
      <c r="B53" s="1"/>
      <c r="C53" s="1" t="s">
        <v>280</v>
      </c>
      <c r="D53" s="1">
        <v>3020730000153</v>
      </c>
      <c r="E53" s="1" t="s">
        <v>288</v>
      </c>
      <c r="F53" s="1" t="s">
        <v>298</v>
      </c>
      <c r="G53" s="1">
        <v>77546</v>
      </c>
      <c r="H53" s="1" t="s">
        <v>305</v>
      </c>
      <c r="I53" s="1"/>
    </row>
    <row r="54" spans="1:9" x14ac:dyDescent="0.35">
      <c r="A54" s="1" t="s">
        <v>37</v>
      </c>
      <c r="B54" s="1"/>
      <c r="C54" s="1" t="s">
        <v>281</v>
      </c>
      <c r="D54" s="1">
        <v>3020739006002</v>
      </c>
      <c r="E54" s="1" t="s">
        <v>290</v>
      </c>
      <c r="F54" s="1" t="s">
        <v>299</v>
      </c>
      <c r="G54" s="1">
        <v>77127</v>
      </c>
      <c r="H54" s="1" t="s">
        <v>41</v>
      </c>
      <c r="I54" s="1" t="s">
        <v>306</v>
      </c>
    </row>
    <row r="55" spans="1:9" x14ac:dyDescent="0.35">
      <c r="A55" s="1" t="s">
        <v>37</v>
      </c>
      <c r="B55" s="1"/>
      <c r="C55" s="1" t="s">
        <v>282</v>
      </c>
      <c r="D55" s="1">
        <v>3020730000139</v>
      </c>
      <c r="E55" s="1" t="s">
        <v>288</v>
      </c>
      <c r="F55" s="1" t="s">
        <v>300</v>
      </c>
      <c r="G55" s="1">
        <v>77546</v>
      </c>
      <c r="H55" s="1" t="s">
        <v>305</v>
      </c>
      <c r="I55" s="1"/>
    </row>
    <row r="56" spans="1:9" x14ac:dyDescent="0.35">
      <c r="A56" s="1" t="s">
        <v>37</v>
      </c>
      <c r="B56" s="1"/>
      <c r="C56" s="1" t="s">
        <v>283</v>
      </c>
      <c r="D56" s="1">
        <v>3020730000115</v>
      </c>
      <c r="E56" s="1" t="s">
        <v>291</v>
      </c>
      <c r="F56" s="1" t="s">
        <v>301</v>
      </c>
      <c r="G56" s="1">
        <v>77546</v>
      </c>
      <c r="H56" s="1" t="s">
        <v>305</v>
      </c>
      <c r="I56" s="1"/>
    </row>
    <row r="57" spans="1:9" x14ac:dyDescent="0.35">
      <c r="A57" s="1" t="s">
        <v>37</v>
      </c>
      <c r="B57" s="1"/>
      <c r="C57" s="1" t="s">
        <v>284</v>
      </c>
      <c r="D57" s="1">
        <v>3020730000207</v>
      </c>
      <c r="E57" s="1" t="s">
        <v>288</v>
      </c>
      <c r="F57" s="1" t="s">
        <v>302</v>
      </c>
      <c r="G57" s="1">
        <v>77546</v>
      </c>
      <c r="H57" s="1" t="s">
        <v>305</v>
      </c>
      <c r="I57" s="1"/>
    </row>
    <row r="58" spans="1:9" x14ac:dyDescent="0.35">
      <c r="A58" s="1" t="s">
        <v>37</v>
      </c>
      <c r="B58" s="1"/>
      <c r="C58" s="1" t="s">
        <v>285</v>
      </c>
      <c r="D58" s="1">
        <v>3020730000184</v>
      </c>
      <c r="E58" s="1" t="s">
        <v>288</v>
      </c>
      <c r="F58" s="1" t="s">
        <v>303</v>
      </c>
      <c r="G58" s="1">
        <v>77176</v>
      </c>
      <c r="H58" s="1" t="s">
        <v>305</v>
      </c>
      <c r="I58" s="1"/>
    </row>
    <row r="59" spans="1:9" x14ac:dyDescent="0.35">
      <c r="A59" s="1" t="s">
        <v>42</v>
      </c>
      <c r="B59" s="1" t="s">
        <v>308</v>
      </c>
      <c r="C59" s="1" t="s">
        <v>309</v>
      </c>
      <c r="D59" s="1">
        <v>9999999999995</v>
      </c>
      <c r="E59" s="1" t="s">
        <v>316</v>
      </c>
      <c r="F59" s="1" t="s">
        <v>323</v>
      </c>
      <c r="G59" s="1">
        <v>40090</v>
      </c>
      <c r="H59" s="1" t="s">
        <v>327</v>
      </c>
      <c r="I59" s="1"/>
    </row>
    <row r="60" spans="1:9" x14ac:dyDescent="0.35">
      <c r="A60" s="1" t="s">
        <v>42</v>
      </c>
      <c r="B60" s="1"/>
      <c r="C60" s="1" t="s">
        <v>310</v>
      </c>
      <c r="D60" s="1">
        <v>3020500000109</v>
      </c>
      <c r="E60" s="1" t="s">
        <v>317</v>
      </c>
      <c r="F60" s="1" t="s">
        <v>324</v>
      </c>
      <c r="G60" s="1">
        <v>40001</v>
      </c>
      <c r="H60" s="1" t="s">
        <v>328</v>
      </c>
      <c r="I60" s="1"/>
    </row>
    <row r="61" spans="1:9" x14ac:dyDescent="0.35">
      <c r="A61" s="1" t="s">
        <v>42</v>
      </c>
      <c r="B61" s="1"/>
      <c r="C61" s="1" t="s">
        <v>311</v>
      </c>
      <c r="D61" s="1">
        <v>3020500000208</v>
      </c>
      <c r="E61" s="1" t="s">
        <v>318</v>
      </c>
      <c r="F61" s="1" t="s">
        <v>324</v>
      </c>
      <c r="G61" s="1">
        <v>40001</v>
      </c>
      <c r="H61" s="1" t="s">
        <v>328</v>
      </c>
      <c r="I61" s="1"/>
    </row>
    <row r="62" spans="1:9" x14ac:dyDescent="0.35">
      <c r="A62" s="1" t="s">
        <v>42</v>
      </c>
      <c r="B62" s="1"/>
      <c r="C62" s="1" t="s">
        <v>312</v>
      </c>
      <c r="D62" s="1">
        <v>3020500000307</v>
      </c>
      <c r="E62" s="1" t="s">
        <v>319</v>
      </c>
      <c r="F62" s="1"/>
      <c r="G62" s="1">
        <v>40090</v>
      </c>
      <c r="H62" s="1" t="s">
        <v>327</v>
      </c>
      <c r="I62" s="1" t="s">
        <v>331</v>
      </c>
    </row>
    <row r="63" spans="1:9" x14ac:dyDescent="0.35">
      <c r="A63" s="1" t="s">
        <v>42</v>
      </c>
      <c r="B63" s="1"/>
      <c r="C63" s="1" t="s">
        <v>313</v>
      </c>
      <c r="D63" s="1">
        <v>3016612400012</v>
      </c>
      <c r="E63" s="1" t="s">
        <v>320</v>
      </c>
      <c r="F63" s="1"/>
      <c r="G63" s="1">
        <v>64104</v>
      </c>
      <c r="H63" s="1" t="s">
        <v>329</v>
      </c>
      <c r="I63" s="1" t="s">
        <v>332</v>
      </c>
    </row>
    <row r="64" spans="1:9" x14ac:dyDescent="0.35">
      <c r="A64" s="1" t="s">
        <v>42</v>
      </c>
      <c r="B64" s="1"/>
      <c r="C64" s="1" t="s">
        <v>314</v>
      </c>
      <c r="D64" s="1">
        <v>3000168</v>
      </c>
      <c r="E64" s="1" t="s">
        <v>321</v>
      </c>
      <c r="F64" s="1" t="s">
        <v>325</v>
      </c>
      <c r="G64" s="1">
        <v>64140</v>
      </c>
      <c r="H64" s="1" t="s">
        <v>329</v>
      </c>
      <c r="I64" s="1" t="s">
        <v>43</v>
      </c>
    </row>
    <row r="65" spans="1:9" x14ac:dyDescent="0.35">
      <c r="A65" s="1" t="s">
        <v>42</v>
      </c>
      <c r="B65" s="1"/>
      <c r="C65" s="1" t="s">
        <v>315</v>
      </c>
      <c r="D65" s="1">
        <v>3016022640206</v>
      </c>
      <c r="E65" s="1" t="s">
        <v>322</v>
      </c>
      <c r="F65" s="1" t="s">
        <v>326</v>
      </c>
      <c r="G65" s="1">
        <v>40500</v>
      </c>
      <c r="H65" s="1" t="s">
        <v>330</v>
      </c>
      <c r="I65" s="1" t="s">
        <v>333</v>
      </c>
    </row>
    <row r="66" spans="1:9" x14ac:dyDescent="0.35">
      <c r="A66" s="1" t="s">
        <v>44</v>
      </c>
      <c r="B66" s="1" t="s">
        <v>334</v>
      </c>
      <c r="C66" s="1" t="s">
        <v>44</v>
      </c>
      <c r="D66" s="1">
        <v>3025740000100</v>
      </c>
      <c r="E66" s="1" t="s">
        <v>355</v>
      </c>
      <c r="F66" s="1"/>
      <c r="G66" s="1">
        <v>14100</v>
      </c>
      <c r="H66" s="1" t="s">
        <v>45</v>
      </c>
      <c r="I66" s="1"/>
    </row>
    <row r="67" spans="1:9" x14ac:dyDescent="0.35">
      <c r="A67" s="1" t="s">
        <v>44</v>
      </c>
      <c r="B67" s="1"/>
      <c r="C67" s="1" t="s">
        <v>335</v>
      </c>
      <c r="D67" s="1">
        <v>3025740420000</v>
      </c>
      <c r="E67" s="1" t="s">
        <v>356</v>
      </c>
      <c r="F67" s="1" t="s">
        <v>368</v>
      </c>
      <c r="G67" s="1">
        <v>14120</v>
      </c>
      <c r="H67" s="1" t="s">
        <v>47</v>
      </c>
      <c r="I67" s="1" t="s">
        <v>48</v>
      </c>
    </row>
    <row r="68" spans="1:9" x14ac:dyDescent="0.35">
      <c r="A68" s="1" t="s">
        <v>44</v>
      </c>
      <c r="B68" s="1"/>
      <c r="C68" s="1" t="s">
        <v>336</v>
      </c>
      <c r="D68" s="1">
        <v>3025740240001</v>
      </c>
      <c r="E68" s="1" t="s">
        <v>357</v>
      </c>
      <c r="F68" s="1" t="s">
        <v>369</v>
      </c>
      <c r="G68" s="1">
        <v>27940</v>
      </c>
      <c r="H68" s="1" t="s">
        <v>49</v>
      </c>
      <c r="I68" s="1" t="s">
        <v>380</v>
      </c>
    </row>
    <row r="69" spans="1:9" x14ac:dyDescent="0.35">
      <c r="A69" s="1" t="s">
        <v>44</v>
      </c>
      <c r="B69" s="1"/>
      <c r="C69" s="1" t="s">
        <v>337</v>
      </c>
      <c r="D69" s="1">
        <v>3025740250000</v>
      </c>
      <c r="E69" s="1" t="s">
        <v>358</v>
      </c>
      <c r="F69" s="1" t="s">
        <v>370</v>
      </c>
      <c r="G69" s="1">
        <v>14120</v>
      </c>
      <c r="H69" s="1" t="s">
        <v>47</v>
      </c>
      <c r="I69" s="1">
        <v>231358535</v>
      </c>
    </row>
    <row r="70" spans="1:9" x14ac:dyDescent="0.35">
      <c r="A70" s="1" t="s">
        <v>44</v>
      </c>
      <c r="B70" s="1"/>
      <c r="C70" s="1" t="s">
        <v>338</v>
      </c>
      <c r="D70" s="1">
        <v>3025740430000</v>
      </c>
      <c r="E70" s="1" t="s">
        <v>46</v>
      </c>
      <c r="F70" s="1" t="s">
        <v>371</v>
      </c>
      <c r="G70" s="1">
        <v>14540</v>
      </c>
      <c r="H70" s="1" t="s">
        <v>50</v>
      </c>
      <c r="I70" s="1">
        <v>231358535</v>
      </c>
    </row>
    <row r="71" spans="1:9" x14ac:dyDescent="0.35">
      <c r="A71" s="1" t="s">
        <v>44</v>
      </c>
      <c r="B71" s="1"/>
      <c r="C71" s="1" t="s">
        <v>339</v>
      </c>
      <c r="D71" s="1">
        <v>3025740910003</v>
      </c>
      <c r="E71" s="1" t="s">
        <v>359</v>
      </c>
      <c r="F71" s="1"/>
      <c r="G71" s="1">
        <v>76430</v>
      </c>
      <c r="H71" s="1" t="s">
        <v>51</v>
      </c>
      <c r="I71" s="1" t="s">
        <v>381</v>
      </c>
    </row>
    <row r="72" spans="1:9" x14ac:dyDescent="0.35">
      <c r="A72" s="1" t="s">
        <v>44</v>
      </c>
      <c r="B72" s="1"/>
      <c r="C72" s="1" t="s">
        <v>340</v>
      </c>
      <c r="D72" s="1">
        <v>3016610260236</v>
      </c>
      <c r="E72" s="1" t="s">
        <v>360</v>
      </c>
      <c r="F72" s="1" t="s">
        <v>372</v>
      </c>
      <c r="G72" s="1">
        <v>76430</v>
      </c>
      <c r="H72" s="1" t="s">
        <v>52</v>
      </c>
      <c r="I72" s="1" t="s">
        <v>382</v>
      </c>
    </row>
    <row r="73" spans="1:9" x14ac:dyDescent="0.35">
      <c r="A73" s="1" t="s">
        <v>44</v>
      </c>
      <c r="B73" s="1"/>
      <c r="C73" s="1" t="s">
        <v>341</v>
      </c>
      <c r="D73" s="1">
        <v>3025740960008</v>
      </c>
      <c r="E73" s="1" t="s">
        <v>360</v>
      </c>
      <c r="F73" s="1" t="s">
        <v>372</v>
      </c>
      <c r="G73" s="1">
        <v>76430</v>
      </c>
      <c r="H73" s="1" t="s">
        <v>52</v>
      </c>
      <c r="I73" s="1" t="s">
        <v>382</v>
      </c>
    </row>
    <row r="74" spans="1:9" x14ac:dyDescent="0.35">
      <c r="A74" s="1" t="s">
        <v>44</v>
      </c>
      <c r="B74" s="1"/>
      <c r="C74" s="1" t="s">
        <v>342</v>
      </c>
      <c r="D74" s="1">
        <v>3030001702907</v>
      </c>
      <c r="E74" s="1" t="s">
        <v>361</v>
      </c>
      <c r="F74" s="1" t="s">
        <v>373</v>
      </c>
      <c r="G74" s="1">
        <v>14790</v>
      </c>
      <c r="H74" s="1" t="s">
        <v>53</v>
      </c>
      <c r="I74" s="1" t="s">
        <v>54</v>
      </c>
    </row>
    <row r="75" spans="1:9" x14ac:dyDescent="0.35">
      <c r="A75" s="1" t="s">
        <v>44</v>
      </c>
      <c r="B75" s="1"/>
      <c r="C75" s="1" t="s">
        <v>343</v>
      </c>
      <c r="D75" s="1">
        <v>3025740270008</v>
      </c>
      <c r="E75" s="1" t="s">
        <v>362</v>
      </c>
      <c r="F75" s="1" t="s">
        <v>374</v>
      </c>
      <c r="G75" s="1">
        <v>14123</v>
      </c>
      <c r="H75" s="1" t="s">
        <v>55</v>
      </c>
      <c r="I75" s="1" t="s">
        <v>383</v>
      </c>
    </row>
    <row r="76" spans="1:9" x14ac:dyDescent="0.35">
      <c r="A76" s="1" t="s">
        <v>44</v>
      </c>
      <c r="B76" s="1"/>
      <c r="C76" s="1" t="s">
        <v>344</v>
      </c>
      <c r="D76" s="1">
        <v>3025740110007</v>
      </c>
      <c r="E76" s="1" t="s">
        <v>363</v>
      </c>
      <c r="F76" s="1"/>
      <c r="G76" s="1">
        <v>14100</v>
      </c>
      <c r="H76" s="1" t="s">
        <v>56</v>
      </c>
      <c r="I76" s="1"/>
    </row>
    <row r="77" spans="1:9" x14ac:dyDescent="0.35">
      <c r="A77" s="1" t="s">
        <v>44</v>
      </c>
      <c r="B77" s="1"/>
      <c r="C77" s="1" t="s">
        <v>345</v>
      </c>
      <c r="D77" s="1">
        <v>3027019340108</v>
      </c>
      <c r="E77" s="1" t="s">
        <v>364</v>
      </c>
      <c r="F77" s="1"/>
      <c r="G77" s="1">
        <v>14100</v>
      </c>
      <c r="H77" s="1" t="s">
        <v>378</v>
      </c>
      <c r="I77" s="1" t="s">
        <v>384</v>
      </c>
    </row>
    <row r="78" spans="1:9" x14ac:dyDescent="0.35">
      <c r="A78" s="1" t="s">
        <v>44</v>
      </c>
      <c r="B78" s="1"/>
      <c r="C78" s="1" t="s">
        <v>346</v>
      </c>
      <c r="D78" s="1">
        <v>3025740040007</v>
      </c>
      <c r="E78" s="1" t="s">
        <v>365</v>
      </c>
      <c r="F78" s="1" t="s">
        <v>375</v>
      </c>
      <c r="G78" s="1">
        <v>14101</v>
      </c>
      <c r="H78" s="1" t="s">
        <v>45</v>
      </c>
      <c r="I78" s="1" t="s">
        <v>27</v>
      </c>
    </row>
    <row r="79" spans="1:9" x14ac:dyDescent="0.35">
      <c r="A79" s="1" t="s">
        <v>44</v>
      </c>
      <c r="B79" s="1"/>
      <c r="C79" s="1" t="s">
        <v>347</v>
      </c>
      <c r="D79" s="1">
        <v>9999999999997</v>
      </c>
      <c r="E79" s="1" t="s">
        <v>366</v>
      </c>
      <c r="F79" s="1"/>
      <c r="G79" s="1">
        <v>14101</v>
      </c>
      <c r="H79" s="1" t="s">
        <v>45</v>
      </c>
      <c r="I79" s="1"/>
    </row>
    <row r="80" spans="1:9" x14ac:dyDescent="0.35">
      <c r="A80" s="1" t="s">
        <v>44</v>
      </c>
      <c r="B80" s="1"/>
      <c r="C80" s="1" t="s">
        <v>348</v>
      </c>
      <c r="D80" s="1">
        <v>3025740170001</v>
      </c>
      <c r="E80" s="1" t="s">
        <v>367</v>
      </c>
      <c r="F80" s="1" t="s">
        <v>376</v>
      </c>
      <c r="G80" s="1">
        <v>76430</v>
      </c>
      <c r="H80" s="1" t="s">
        <v>379</v>
      </c>
      <c r="I80" s="1" t="s">
        <v>385</v>
      </c>
    </row>
    <row r="81" spans="1:9" x14ac:dyDescent="0.35">
      <c r="A81" s="1" t="s">
        <v>44</v>
      </c>
      <c r="B81" s="1"/>
      <c r="C81" s="1" t="s">
        <v>349</v>
      </c>
      <c r="D81" s="1">
        <v>3025740100008</v>
      </c>
      <c r="E81" s="1" t="s">
        <v>365</v>
      </c>
      <c r="F81" s="1" t="s">
        <v>375</v>
      </c>
      <c r="G81" s="1">
        <v>14101</v>
      </c>
      <c r="H81" s="1" t="s">
        <v>45</v>
      </c>
      <c r="I81" s="1" t="s">
        <v>27</v>
      </c>
    </row>
    <row r="82" spans="1:9" x14ac:dyDescent="0.35">
      <c r="A82" s="1" t="s">
        <v>44</v>
      </c>
      <c r="B82" s="1"/>
      <c r="C82" s="1" t="s">
        <v>350</v>
      </c>
      <c r="D82" s="1">
        <v>3025740510005</v>
      </c>
      <c r="E82" s="1" t="s">
        <v>365</v>
      </c>
      <c r="F82" s="1" t="s">
        <v>375</v>
      </c>
      <c r="G82" s="1">
        <v>14101</v>
      </c>
      <c r="H82" s="1" t="s">
        <v>45</v>
      </c>
      <c r="I82" s="1" t="s">
        <v>27</v>
      </c>
    </row>
    <row r="83" spans="1:9" x14ac:dyDescent="0.35">
      <c r="A83" s="1" t="s">
        <v>44</v>
      </c>
      <c r="B83" s="1"/>
      <c r="C83" s="1" t="s">
        <v>351</v>
      </c>
      <c r="D83" s="1">
        <v>3025740060005</v>
      </c>
      <c r="E83" s="1" t="s">
        <v>365</v>
      </c>
      <c r="F83" s="1" t="s">
        <v>375</v>
      </c>
      <c r="G83" s="1">
        <v>14101</v>
      </c>
      <c r="H83" s="1" t="s">
        <v>45</v>
      </c>
      <c r="I83" s="1" t="s">
        <v>27</v>
      </c>
    </row>
    <row r="84" spans="1:9" x14ac:dyDescent="0.35">
      <c r="A84" s="1" t="s">
        <v>44</v>
      </c>
      <c r="B84" s="1"/>
      <c r="C84" s="1" t="s">
        <v>352</v>
      </c>
      <c r="D84" s="1">
        <v>3025740070004</v>
      </c>
      <c r="E84" s="1" t="s">
        <v>365</v>
      </c>
      <c r="F84" s="1" t="s">
        <v>375</v>
      </c>
      <c r="G84" s="1">
        <v>14101</v>
      </c>
      <c r="H84" s="1" t="s">
        <v>45</v>
      </c>
      <c r="I84" s="1" t="s">
        <v>27</v>
      </c>
    </row>
    <row r="85" spans="1:9" x14ac:dyDescent="0.35">
      <c r="A85" s="1" t="s">
        <v>44</v>
      </c>
      <c r="B85" s="1"/>
      <c r="C85" s="1" t="s">
        <v>353</v>
      </c>
      <c r="D85" s="1">
        <v>3025740030008</v>
      </c>
      <c r="E85" s="1" t="s">
        <v>365</v>
      </c>
      <c r="F85" s="1" t="s">
        <v>377</v>
      </c>
      <c r="G85" s="1">
        <v>14101</v>
      </c>
      <c r="H85" s="1" t="s">
        <v>45</v>
      </c>
      <c r="I85" s="1" t="s">
        <v>27</v>
      </c>
    </row>
    <row r="86" spans="1:9" x14ac:dyDescent="0.35">
      <c r="A86" s="1" t="s">
        <v>44</v>
      </c>
      <c r="B86" s="1"/>
      <c r="C86" s="1" t="s">
        <v>354</v>
      </c>
      <c r="D86" s="1">
        <v>3025740050006</v>
      </c>
      <c r="E86" s="1" t="s">
        <v>365</v>
      </c>
      <c r="F86" s="1" t="s">
        <v>375</v>
      </c>
      <c r="G86" s="1">
        <v>14101</v>
      </c>
      <c r="H86" s="1" t="s">
        <v>45</v>
      </c>
      <c r="I86" s="1" t="s">
        <v>27</v>
      </c>
    </row>
    <row r="87" spans="1:9" x14ac:dyDescent="0.35">
      <c r="A87" s="1" t="s">
        <v>44</v>
      </c>
      <c r="B87" s="1"/>
      <c r="C87" s="1" t="s">
        <v>386</v>
      </c>
      <c r="D87" s="1">
        <v>3025740010000</v>
      </c>
      <c r="E87" s="1" t="s">
        <v>365</v>
      </c>
      <c r="F87" s="1" t="s">
        <v>375</v>
      </c>
      <c r="G87" s="1">
        <v>14101</v>
      </c>
      <c r="H87" s="1" t="s">
        <v>45</v>
      </c>
      <c r="I87" s="1" t="s">
        <v>27</v>
      </c>
    </row>
    <row r="88" spans="1:9" x14ac:dyDescent="0.35">
      <c r="A88" s="1" t="s">
        <v>44</v>
      </c>
      <c r="B88" s="1"/>
      <c r="C88" s="1" t="s">
        <v>387</v>
      </c>
      <c r="D88" s="1">
        <v>3025740020009</v>
      </c>
      <c r="E88" s="1" t="s">
        <v>365</v>
      </c>
      <c r="F88" s="1" t="s">
        <v>375</v>
      </c>
      <c r="G88" s="1">
        <v>14101</v>
      </c>
      <c r="H88" s="1" t="s">
        <v>45</v>
      </c>
      <c r="I88" s="1" t="s">
        <v>27</v>
      </c>
    </row>
    <row r="89" spans="1:9" x14ac:dyDescent="0.35">
      <c r="A89" s="1" t="s">
        <v>44</v>
      </c>
      <c r="B89" s="1"/>
      <c r="C89" s="1" t="s">
        <v>388</v>
      </c>
      <c r="D89" s="1">
        <v>3025740080004</v>
      </c>
      <c r="E89" s="1" t="s">
        <v>392</v>
      </c>
      <c r="F89" s="1" t="s">
        <v>395</v>
      </c>
      <c r="G89" s="1">
        <v>14100</v>
      </c>
      <c r="H89" s="1" t="s">
        <v>45</v>
      </c>
      <c r="I89" s="1" t="s">
        <v>399</v>
      </c>
    </row>
    <row r="90" spans="1:9" x14ac:dyDescent="0.35">
      <c r="A90" s="1" t="s">
        <v>44</v>
      </c>
      <c r="B90" s="1"/>
      <c r="C90" s="1" t="s">
        <v>389</v>
      </c>
      <c r="D90" s="1">
        <v>3016610260229</v>
      </c>
      <c r="E90" s="1" t="s">
        <v>393</v>
      </c>
      <c r="F90" s="1" t="s">
        <v>396</v>
      </c>
      <c r="G90" s="1">
        <v>76600</v>
      </c>
      <c r="H90" s="1" t="s">
        <v>398</v>
      </c>
      <c r="I90" s="1" t="s">
        <v>400</v>
      </c>
    </row>
    <row r="91" spans="1:9" x14ac:dyDescent="0.35">
      <c r="A91" s="1" t="s">
        <v>44</v>
      </c>
      <c r="B91" s="1"/>
      <c r="C91" s="1" t="s">
        <v>390</v>
      </c>
      <c r="D91" s="1">
        <v>3025740970007</v>
      </c>
      <c r="E91" s="1" t="s">
        <v>393</v>
      </c>
      <c r="F91" s="1" t="s">
        <v>396</v>
      </c>
      <c r="G91" s="1">
        <v>76600</v>
      </c>
      <c r="H91" s="1" t="s">
        <v>398</v>
      </c>
      <c r="I91" s="1" t="s">
        <v>400</v>
      </c>
    </row>
    <row r="92" spans="1:9" x14ac:dyDescent="0.35">
      <c r="A92" s="1" t="s">
        <v>44</v>
      </c>
      <c r="B92" s="1"/>
      <c r="C92" s="1" t="s">
        <v>391</v>
      </c>
      <c r="D92" s="1">
        <v>3025740980006</v>
      </c>
      <c r="E92" s="1" t="s">
        <v>394</v>
      </c>
      <c r="F92" s="1" t="s">
        <v>397</v>
      </c>
      <c r="G92" s="1">
        <v>76600</v>
      </c>
      <c r="H92" s="1" t="s">
        <v>398</v>
      </c>
      <c r="I92" s="1" t="s">
        <v>401</v>
      </c>
    </row>
    <row r="93" spans="1:9" x14ac:dyDescent="0.35">
      <c r="A93" s="1" t="s">
        <v>57</v>
      </c>
      <c r="B93" s="1" t="s">
        <v>402</v>
      </c>
      <c r="C93" s="1" t="s">
        <v>58</v>
      </c>
      <c r="D93" s="1">
        <v>3025641606487</v>
      </c>
      <c r="E93" s="1" t="s">
        <v>422</v>
      </c>
      <c r="F93" s="1"/>
      <c r="G93" s="1">
        <v>44120</v>
      </c>
      <c r="H93" s="1" t="s">
        <v>59</v>
      </c>
      <c r="I93" s="1"/>
    </row>
    <row r="94" spans="1:9" x14ac:dyDescent="0.35">
      <c r="A94" s="1" t="s">
        <v>57</v>
      </c>
      <c r="B94" s="1"/>
      <c r="C94" s="1" t="s">
        <v>60</v>
      </c>
      <c r="D94" s="1">
        <v>3025641606494</v>
      </c>
      <c r="E94" s="1" t="s">
        <v>423</v>
      </c>
      <c r="F94" s="1"/>
      <c r="G94" s="1">
        <v>44470</v>
      </c>
      <c r="H94" s="1" t="s">
        <v>61</v>
      </c>
      <c r="I94" s="1"/>
    </row>
    <row r="95" spans="1:9" x14ac:dyDescent="0.35">
      <c r="A95" s="1" t="s">
        <v>57</v>
      </c>
      <c r="B95" s="1"/>
      <c r="C95" s="1" t="s">
        <v>403</v>
      </c>
      <c r="D95" s="1">
        <v>3025640000200</v>
      </c>
      <c r="E95" s="1" t="s">
        <v>424</v>
      </c>
      <c r="F95" s="1" t="s">
        <v>429</v>
      </c>
      <c r="G95" s="1">
        <v>44363</v>
      </c>
      <c r="H95" s="1" t="s">
        <v>144</v>
      </c>
      <c r="I95" s="1"/>
    </row>
    <row r="96" spans="1:9" x14ac:dyDescent="0.35">
      <c r="A96" s="1" t="s">
        <v>57</v>
      </c>
      <c r="B96" s="1"/>
      <c r="C96" s="1" t="s">
        <v>404</v>
      </c>
      <c r="D96" s="1">
        <v>3025640002006</v>
      </c>
      <c r="E96" s="1" t="s">
        <v>425</v>
      </c>
      <c r="F96" s="1" t="s">
        <v>429</v>
      </c>
      <c r="G96" s="1">
        <v>44365</v>
      </c>
      <c r="H96" s="1" t="s">
        <v>144</v>
      </c>
      <c r="I96" s="1"/>
    </row>
    <row r="97" spans="1:9" x14ac:dyDescent="0.35">
      <c r="A97" s="1" t="s">
        <v>57</v>
      </c>
      <c r="B97" s="1"/>
      <c r="C97" s="1" t="s">
        <v>405</v>
      </c>
      <c r="D97" s="1">
        <v>3025640006905</v>
      </c>
      <c r="E97" s="1" t="s">
        <v>426</v>
      </c>
      <c r="F97" s="1" t="s">
        <v>436</v>
      </c>
      <c r="G97" s="1">
        <v>44360</v>
      </c>
      <c r="H97" s="1" t="s">
        <v>144</v>
      </c>
      <c r="I97" s="1"/>
    </row>
    <row r="98" spans="1:9" x14ac:dyDescent="0.35">
      <c r="A98" s="1" t="s">
        <v>57</v>
      </c>
      <c r="B98" s="1"/>
      <c r="C98" s="1" t="s">
        <v>406</v>
      </c>
      <c r="D98" s="1">
        <v>3025640007001</v>
      </c>
      <c r="E98" s="1" t="s">
        <v>427</v>
      </c>
      <c r="F98" s="1" t="s">
        <v>428</v>
      </c>
      <c r="G98" s="1">
        <v>44360</v>
      </c>
      <c r="H98" s="1" t="s">
        <v>144</v>
      </c>
      <c r="I98" s="1"/>
    </row>
    <row r="99" spans="1:9" x14ac:dyDescent="0.35">
      <c r="A99" s="1" t="s">
        <v>57</v>
      </c>
      <c r="B99" s="1"/>
      <c r="C99" s="1" t="s">
        <v>407</v>
      </c>
      <c r="D99" s="1">
        <v>3025640007902</v>
      </c>
      <c r="E99" s="1" t="s">
        <v>427</v>
      </c>
      <c r="F99" s="1" t="s">
        <v>428</v>
      </c>
      <c r="G99" s="1">
        <v>44360</v>
      </c>
      <c r="H99" s="1" t="s">
        <v>144</v>
      </c>
      <c r="I99" s="1"/>
    </row>
    <row r="100" spans="1:9" x14ac:dyDescent="0.35">
      <c r="A100" s="1" t="s">
        <v>57</v>
      </c>
      <c r="B100" s="1"/>
      <c r="C100" s="1" t="s">
        <v>408</v>
      </c>
      <c r="D100" s="1">
        <v>3025640000101</v>
      </c>
      <c r="E100" s="1" t="s">
        <v>22</v>
      </c>
      <c r="F100" s="1" t="s">
        <v>429</v>
      </c>
      <c r="G100" s="1">
        <v>44362</v>
      </c>
      <c r="H100" s="1" t="s">
        <v>144</v>
      </c>
      <c r="I100" s="1"/>
    </row>
    <row r="101" spans="1:9" x14ac:dyDescent="0.35">
      <c r="A101" s="1" t="s">
        <v>57</v>
      </c>
      <c r="B101" s="1"/>
      <c r="C101" s="1" t="s">
        <v>409</v>
      </c>
      <c r="D101" s="1">
        <v>3025640000408</v>
      </c>
      <c r="E101" s="1" t="s">
        <v>23</v>
      </c>
      <c r="F101" s="1" t="s">
        <v>429</v>
      </c>
      <c r="G101" s="1">
        <v>44365</v>
      </c>
      <c r="H101" s="1" t="s">
        <v>144</v>
      </c>
      <c r="I101" s="1"/>
    </row>
    <row r="102" spans="1:9" x14ac:dyDescent="0.35">
      <c r="A102" s="1" t="s">
        <v>57</v>
      </c>
      <c r="B102" s="1"/>
      <c r="C102" s="1" t="s">
        <v>410</v>
      </c>
      <c r="D102" s="1">
        <v>3025640000309</v>
      </c>
      <c r="E102" s="1" t="s">
        <v>62</v>
      </c>
      <c r="F102" s="1" t="s">
        <v>429</v>
      </c>
      <c r="G102" s="1">
        <v>44364</v>
      </c>
      <c r="H102" s="1" t="s">
        <v>144</v>
      </c>
      <c r="I102" s="1"/>
    </row>
    <row r="103" spans="1:9" x14ac:dyDescent="0.35">
      <c r="A103" s="1" t="s">
        <v>57</v>
      </c>
      <c r="B103" s="1"/>
      <c r="C103" s="1" t="s">
        <v>411</v>
      </c>
      <c r="D103" s="1">
        <v>3025640001108</v>
      </c>
      <c r="E103" s="1" t="s">
        <v>428</v>
      </c>
      <c r="F103" s="1"/>
      <c r="G103" s="1">
        <v>44360</v>
      </c>
      <c r="H103" s="1" t="s">
        <v>438</v>
      </c>
      <c r="I103" s="1"/>
    </row>
    <row r="104" spans="1:9" x14ac:dyDescent="0.35">
      <c r="A104" s="1" t="s">
        <v>57</v>
      </c>
      <c r="B104" s="1"/>
      <c r="C104" s="1" t="s">
        <v>412</v>
      </c>
      <c r="D104" s="1">
        <v>3025640001603</v>
      </c>
      <c r="E104" s="1" t="s">
        <v>429</v>
      </c>
      <c r="F104" s="1"/>
      <c r="G104" s="1">
        <v>44360</v>
      </c>
      <c r="H104" s="1" t="s">
        <v>144</v>
      </c>
      <c r="I104" s="1"/>
    </row>
    <row r="105" spans="1:9" x14ac:dyDescent="0.35">
      <c r="A105" s="1" t="s">
        <v>57</v>
      </c>
      <c r="B105" s="1"/>
      <c r="C105" s="1" t="s">
        <v>413</v>
      </c>
      <c r="D105" s="1">
        <v>3025640001801</v>
      </c>
      <c r="E105" s="1" t="s">
        <v>430</v>
      </c>
      <c r="F105" s="1"/>
      <c r="G105" s="1">
        <v>44360</v>
      </c>
      <c r="H105" s="1" t="s">
        <v>439</v>
      </c>
      <c r="I105" s="1"/>
    </row>
    <row r="106" spans="1:9" x14ac:dyDescent="0.35">
      <c r="A106" s="1" t="s">
        <v>57</v>
      </c>
      <c r="B106" s="1"/>
      <c r="C106" s="1" t="s">
        <v>414</v>
      </c>
      <c r="D106" s="1">
        <v>3025640001900</v>
      </c>
      <c r="E106" s="1" t="s">
        <v>431</v>
      </c>
      <c r="F106" s="1" t="s">
        <v>429</v>
      </c>
      <c r="G106" s="1">
        <v>44360</v>
      </c>
      <c r="H106" s="1" t="s">
        <v>440</v>
      </c>
      <c r="I106" s="1"/>
    </row>
    <row r="107" spans="1:9" x14ac:dyDescent="0.35">
      <c r="A107" s="1" t="s">
        <v>57</v>
      </c>
      <c r="B107" s="1"/>
      <c r="C107" s="1" t="s">
        <v>415</v>
      </c>
      <c r="D107" s="1">
        <v>3025640002105</v>
      </c>
      <c r="E107" s="1" t="s">
        <v>432</v>
      </c>
      <c r="F107" s="1"/>
      <c r="G107" s="1">
        <v>44360</v>
      </c>
      <c r="H107" s="1" t="s">
        <v>144</v>
      </c>
      <c r="I107" s="1"/>
    </row>
    <row r="108" spans="1:9" x14ac:dyDescent="0.35">
      <c r="A108" s="1" t="s">
        <v>57</v>
      </c>
      <c r="B108" s="1"/>
      <c r="C108" s="1" t="s">
        <v>416</v>
      </c>
      <c r="D108" s="1">
        <v>3025640002204</v>
      </c>
      <c r="E108" s="1" t="s">
        <v>433</v>
      </c>
      <c r="F108" s="1" t="s">
        <v>437</v>
      </c>
      <c r="G108" s="1">
        <v>44360</v>
      </c>
      <c r="H108" s="1" t="s">
        <v>438</v>
      </c>
      <c r="I108" s="1"/>
    </row>
    <row r="109" spans="1:9" x14ac:dyDescent="0.35">
      <c r="A109" s="1" t="s">
        <v>57</v>
      </c>
      <c r="B109" s="1"/>
      <c r="C109" s="1" t="s">
        <v>417</v>
      </c>
      <c r="D109" s="1">
        <v>3025640002402</v>
      </c>
      <c r="E109" s="1" t="s">
        <v>434</v>
      </c>
      <c r="F109" s="1"/>
      <c r="G109" s="1">
        <v>44360</v>
      </c>
      <c r="H109" s="1" t="s">
        <v>440</v>
      </c>
      <c r="I109" s="1"/>
    </row>
    <row r="110" spans="1:9" x14ac:dyDescent="0.35">
      <c r="A110" s="1" t="s">
        <v>57</v>
      </c>
      <c r="B110" s="1"/>
      <c r="C110" s="1" t="s">
        <v>418</v>
      </c>
      <c r="D110" s="1">
        <v>3025640006103</v>
      </c>
      <c r="E110" s="1" t="s">
        <v>63</v>
      </c>
      <c r="F110" s="1" t="s">
        <v>429</v>
      </c>
      <c r="G110" s="1">
        <v>44360</v>
      </c>
      <c r="H110" s="1" t="s">
        <v>144</v>
      </c>
      <c r="I110" s="1"/>
    </row>
    <row r="111" spans="1:9" x14ac:dyDescent="0.35">
      <c r="A111" s="1" t="s">
        <v>57</v>
      </c>
      <c r="B111" s="1"/>
      <c r="C111" s="1" t="s">
        <v>419</v>
      </c>
      <c r="D111" s="1">
        <v>3025640006202</v>
      </c>
      <c r="E111" s="1" t="s">
        <v>64</v>
      </c>
      <c r="F111" s="1" t="s">
        <v>429</v>
      </c>
      <c r="G111" s="1">
        <v>44360</v>
      </c>
      <c r="H111" s="1" t="s">
        <v>144</v>
      </c>
      <c r="I111" s="1"/>
    </row>
    <row r="112" spans="1:9" x14ac:dyDescent="0.35">
      <c r="A112" s="1" t="s">
        <v>57</v>
      </c>
      <c r="B112" s="1"/>
      <c r="C112" s="1" t="s">
        <v>420</v>
      </c>
      <c r="D112" s="1">
        <v>3025640006301</v>
      </c>
      <c r="E112" s="1" t="s">
        <v>65</v>
      </c>
      <c r="F112" s="1" t="s">
        <v>429</v>
      </c>
      <c r="G112" s="1">
        <v>44360</v>
      </c>
      <c r="H112" s="1" t="s">
        <v>144</v>
      </c>
      <c r="I112" s="1"/>
    </row>
    <row r="113" spans="1:9" x14ac:dyDescent="0.35">
      <c r="A113" s="1" t="s">
        <v>57</v>
      </c>
      <c r="B113" s="1"/>
      <c r="C113" s="1" t="s">
        <v>421</v>
      </c>
      <c r="D113" s="1">
        <v>3025640006400</v>
      </c>
      <c r="E113" s="1" t="s">
        <v>435</v>
      </c>
      <c r="F113" s="1" t="s">
        <v>429</v>
      </c>
      <c r="G113" s="1">
        <v>44360</v>
      </c>
      <c r="H113" s="1" t="s">
        <v>144</v>
      </c>
      <c r="I113" s="1"/>
    </row>
    <row r="114" spans="1:9" x14ac:dyDescent="0.35">
      <c r="A114" s="1" t="s">
        <v>57</v>
      </c>
      <c r="B114" s="1"/>
      <c r="C114" s="1" t="s">
        <v>441</v>
      </c>
      <c r="D114" s="1">
        <v>3025640006509</v>
      </c>
      <c r="E114" s="1" t="s">
        <v>444</v>
      </c>
      <c r="F114" s="1" t="s">
        <v>429</v>
      </c>
      <c r="G114" s="1">
        <v>44360</v>
      </c>
      <c r="H114" s="1" t="s">
        <v>144</v>
      </c>
      <c r="I114" s="1"/>
    </row>
    <row r="115" spans="1:9" x14ac:dyDescent="0.35">
      <c r="A115" s="1" t="s">
        <v>57</v>
      </c>
      <c r="B115" s="1"/>
      <c r="C115" s="1" t="s">
        <v>442</v>
      </c>
      <c r="D115" s="1">
        <v>3025640006806</v>
      </c>
      <c r="E115" s="1" t="s">
        <v>432</v>
      </c>
      <c r="F115" s="1"/>
      <c r="G115" s="1">
        <v>44360</v>
      </c>
      <c r="H115" s="1" t="s">
        <v>144</v>
      </c>
      <c r="I115" s="1"/>
    </row>
    <row r="116" spans="1:9" x14ac:dyDescent="0.35">
      <c r="A116" s="1" t="s">
        <v>57</v>
      </c>
      <c r="B116" s="1"/>
      <c r="C116" s="1" t="s">
        <v>443</v>
      </c>
      <c r="D116" s="1">
        <v>3025640006707</v>
      </c>
      <c r="E116" s="1" t="s">
        <v>432</v>
      </c>
      <c r="F116" s="1"/>
      <c r="G116" s="1">
        <v>44360</v>
      </c>
      <c r="H116" s="1" t="s">
        <v>144</v>
      </c>
      <c r="I116" s="1"/>
    </row>
    <row r="117" spans="1:9" x14ac:dyDescent="0.35">
      <c r="A117" s="1" t="s">
        <v>66</v>
      </c>
      <c r="B117" s="1" t="s">
        <v>445</v>
      </c>
      <c r="C117" s="1" t="s">
        <v>446</v>
      </c>
      <c r="D117" s="1">
        <v>3024249200800</v>
      </c>
      <c r="E117" s="1" t="s">
        <v>458</v>
      </c>
      <c r="F117" s="1"/>
      <c r="G117" s="1">
        <v>67116</v>
      </c>
      <c r="H117" s="1" t="s">
        <v>67</v>
      </c>
      <c r="I117" s="1" t="s">
        <v>68</v>
      </c>
    </row>
    <row r="118" spans="1:9" x14ac:dyDescent="0.35">
      <c r="A118" s="1" t="s">
        <v>66</v>
      </c>
      <c r="B118" s="1"/>
      <c r="C118" s="1" t="s">
        <v>447</v>
      </c>
      <c r="D118" s="1">
        <v>3024249200100</v>
      </c>
      <c r="E118" s="1" t="s">
        <v>459</v>
      </c>
      <c r="F118" s="1"/>
      <c r="G118" s="1">
        <v>67116</v>
      </c>
      <c r="H118" s="1" t="s">
        <v>67</v>
      </c>
      <c r="I118" s="1" t="s">
        <v>68</v>
      </c>
    </row>
    <row r="119" spans="1:9" x14ac:dyDescent="0.35">
      <c r="A119" s="1" t="s">
        <v>66</v>
      </c>
      <c r="B119" s="1"/>
      <c r="C119" s="1" t="s">
        <v>448</v>
      </c>
      <c r="D119" s="1">
        <v>3024249200400</v>
      </c>
      <c r="E119" s="1" t="s">
        <v>458</v>
      </c>
      <c r="F119" s="1"/>
      <c r="G119" s="1">
        <v>67116</v>
      </c>
      <c r="H119" s="1" t="s">
        <v>67</v>
      </c>
      <c r="I119" s="1" t="s">
        <v>68</v>
      </c>
    </row>
    <row r="120" spans="1:9" x14ac:dyDescent="0.35">
      <c r="A120" s="1" t="s">
        <v>66</v>
      </c>
      <c r="B120" s="1"/>
      <c r="C120" s="1" t="s">
        <v>449</v>
      </c>
      <c r="D120" s="1">
        <v>3024249200000</v>
      </c>
      <c r="E120" s="1" t="s">
        <v>458</v>
      </c>
      <c r="F120" s="1"/>
      <c r="G120" s="1">
        <v>67116</v>
      </c>
      <c r="H120" s="1" t="s">
        <v>67</v>
      </c>
      <c r="I120" s="1" t="s">
        <v>68</v>
      </c>
    </row>
    <row r="121" spans="1:9" x14ac:dyDescent="0.35">
      <c r="A121" s="1" t="s">
        <v>66</v>
      </c>
      <c r="B121" s="1"/>
      <c r="C121" s="1" t="s">
        <v>66</v>
      </c>
      <c r="D121" s="1">
        <v>3025750000000</v>
      </c>
      <c r="E121" s="1" t="s">
        <v>460</v>
      </c>
      <c r="F121" s="1" t="s">
        <v>467</v>
      </c>
      <c r="G121" s="1">
        <v>68025</v>
      </c>
      <c r="H121" s="1" t="s">
        <v>69</v>
      </c>
      <c r="I121" s="1" t="s">
        <v>70</v>
      </c>
    </row>
    <row r="122" spans="1:9" x14ac:dyDescent="0.35">
      <c r="A122" s="1" t="s">
        <v>66</v>
      </c>
      <c r="B122" s="1"/>
      <c r="C122" s="1" t="s">
        <v>450</v>
      </c>
      <c r="D122" s="1">
        <v>3027700070109</v>
      </c>
      <c r="E122" s="1" t="s">
        <v>461</v>
      </c>
      <c r="F122" s="1" t="s">
        <v>468</v>
      </c>
      <c r="G122" s="1">
        <v>88120</v>
      </c>
      <c r="H122" s="1" t="s">
        <v>470</v>
      </c>
      <c r="I122" s="1"/>
    </row>
    <row r="123" spans="1:9" x14ac:dyDescent="0.35">
      <c r="A123" s="1" t="s">
        <v>66</v>
      </c>
      <c r="B123" s="1"/>
      <c r="C123" s="1" t="s">
        <v>451</v>
      </c>
      <c r="D123" s="1">
        <v>3030001701500</v>
      </c>
      <c r="E123" s="1" t="s">
        <v>462</v>
      </c>
      <c r="F123" s="1" t="s">
        <v>469</v>
      </c>
      <c r="G123" s="1">
        <v>68520</v>
      </c>
      <c r="H123" s="1" t="s">
        <v>471</v>
      </c>
      <c r="I123" s="1" t="s">
        <v>71</v>
      </c>
    </row>
    <row r="124" spans="1:9" x14ac:dyDescent="0.35">
      <c r="A124" s="1" t="s">
        <v>66</v>
      </c>
      <c r="B124" s="1"/>
      <c r="C124" s="1" t="s">
        <v>452</v>
      </c>
      <c r="D124" s="1">
        <v>3025750000206</v>
      </c>
      <c r="E124" s="1" t="s">
        <v>463</v>
      </c>
      <c r="F124" s="1"/>
      <c r="G124" s="1">
        <v>68000</v>
      </c>
      <c r="H124" s="1" t="s">
        <v>69</v>
      </c>
      <c r="I124" s="1"/>
    </row>
    <row r="125" spans="1:9" x14ac:dyDescent="0.35">
      <c r="A125" s="1" t="s">
        <v>66</v>
      </c>
      <c r="B125" s="1"/>
      <c r="C125" s="1" t="s">
        <v>453</v>
      </c>
      <c r="D125" s="1">
        <v>3025750000305</v>
      </c>
      <c r="E125" s="1" t="s">
        <v>463</v>
      </c>
      <c r="F125" s="1"/>
      <c r="G125" s="1">
        <v>68000</v>
      </c>
      <c r="H125" s="1" t="s">
        <v>69</v>
      </c>
      <c r="I125" s="1"/>
    </row>
    <row r="126" spans="1:9" x14ac:dyDescent="0.35">
      <c r="A126" s="1" t="s">
        <v>66</v>
      </c>
      <c r="B126" s="1"/>
      <c r="C126" s="1" t="s">
        <v>454</v>
      </c>
      <c r="D126" s="1">
        <v>3025750000503</v>
      </c>
      <c r="E126" s="1" t="s">
        <v>464</v>
      </c>
      <c r="F126" s="1"/>
      <c r="G126" s="1">
        <v>68127</v>
      </c>
      <c r="H126" s="1" t="s">
        <v>72</v>
      </c>
      <c r="I126" s="1"/>
    </row>
    <row r="127" spans="1:9" x14ac:dyDescent="0.35">
      <c r="A127" s="1" t="s">
        <v>66</v>
      </c>
      <c r="B127" s="1"/>
      <c r="C127" s="1" t="s">
        <v>455</v>
      </c>
      <c r="D127" s="1">
        <v>9999999999996</v>
      </c>
      <c r="E127" s="1" t="s">
        <v>73</v>
      </c>
      <c r="F127" s="1"/>
      <c r="G127" s="1">
        <v>70200</v>
      </c>
      <c r="H127" s="1" t="s">
        <v>74</v>
      </c>
      <c r="I127" s="1"/>
    </row>
    <row r="128" spans="1:9" x14ac:dyDescent="0.35">
      <c r="A128" s="1" t="s">
        <v>66</v>
      </c>
      <c r="B128" s="1"/>
      <c r="C128" s="1" t="s">
        <v>456</v>
      </c>
      <c r="D128" s="1">
        <v>3025750000107</v>
      </c>
      <c r="E128" s="1" t="s">
        <v>465</v>
      </c>
      <c r="F128" s="1"/>
      <c r="G128" s="1">
        <v>68000</v>
      </c>
      <c r="H128" s="1" t="s">
        <v>69</v>
      </c>
      <c r="I128" s="1"/>
    </row>
    <row r="129" spans="1:9" x14ac:dyDescent="0.35">
      <c r="A129" s="1" t="s">
        <v>66</v>
      </c>
      <c r="B129" s="1"/>
      <c r="C129" s="1" t="s">
        <v>457</v>
      </c>
      <c r="D129" s="1">
        <v>3025750000404</v>
      </c>
      <c r="E129" s="1" t="s">
        <v>466</v>
      </c>
      <c r="F129" s="1"/>
      <c r="G129" s="1">
        <v>67650</v>
      </c>
      <c r="H129" s="1" t="s">
        <v>75</v>
      </c>
      <c r="I129" s="1" t="s">
        <v>472</v>
      </c>
    </row>
    <row r="130" spans="1:9" x14ac:dyDescent="0.35">
      <c r="A130" s="1" t="s">
        <v>76</v>
      </c>
      <c r="B130" s="1" t="s">
        <v>473</v>
      </c>
      <c r="C130" s="1" t="s">
        <v>474</v>
      </c>
      <c r="D130" s="1">
        <v>3030001402300</v>
      </c>
      <c r="E130" s="1" t="s">
        <v>478</v>
      </c>
      <c r="F130" s="1"/>
      <c r="G130" s="1">
        <v>45170</v>
      </c>
      <c r="H130" s="1" t="s">
        <v>77</v>
      </c>
      <c r="I130" s="1"/>
    </row>
    <row r="131" spans="1:9" x14ac:dyDescent="0.35">
      <c r="A131" s="1" t="s">
        <v>76</v>
      </c>
      <c r="B131" s="1"/>
      <c r="C131" s="1" t="s">
        <v>475</v>
      </c>
      <c r="D131" s="1">
        <v>3014784800500</v>
      </c>
      <c r="E131" s="1" t="s">
        <v>479</v>
      </c>
      <c r="F131" s="1" t="s">
        <v>483</v>
      </c>
      <c r="G131" s="1">
        <v>59264</v>
      </c>
      <c r="H131" s="1" t="s">
        <v>78</v>
      </c>
      <c r="I131" s="1"/>
    </row>
    <row r="132" spans="1:9" x14ac:dyDescent="0.35">
      <c r="A132" s="1" t="s">
        <v>76</v>
      </c>
      <c r="B132" s="1"/>
      <c r="C132" s="1" t="s">
        <v>76</v>
      </c>
      <c r="D132" s="1">
        <v>3020730000238</v>
      </c>
      <c r="E132" s="1" t="s">
        <v>480</v>
      </c>
      <c r="F132" s="1" t="s">
        <v>484</v>
      </c>
      <c r="G132" s="1">
        <v>60490</v>
      </c>
      <c r="H132" s="1" t="s">
        <v>79</v>
      </c>
      <c r="I132" s="1" t="s">
        <v>489</v>
      </c>
    </row>
    <row r="133" spans="1:9" x14ac:dyDescent="0.35">
      <c r="A133" s="1" t="s">
        <v>76</v>
      </c>
      <c r="B133" s="1"/>
      <c r="C133" s="1" t="s">
        <v>476</v>
      </c>
      <c r="D133" s="1">
        <v>3030001402005</v>
      </c>
      <c r="E133" s="1" t="s">
        <v>481</v>
      </c>
      <c r="F133" s="1" t="s">
        <v>485</v>
      </c>
      <c r="G133" s="1">
        <v>60490</v>
      </c>
      <c r="H133" s="1" t="s">
        <v>487</v>
      </c>
      <c r="I133" s="1"/>
    </row>
    <row r="134" spans="1:9" x14ac:dyDescent="0.35">
      <c r="A134" s="1" t="s">
        <v>76</v>
      </c>
      <c r="B134" s="1"/>
      <c r="C134" s="1" t="s">
        <v>477</v>
      </c>
      <c r="D134" s="1">
        <v>3030001402800</v>
      </c>
      <c r="E134" s="1" t="s">
        <v>482</v>
      </c>
      <c r="F134" s="1" t="s">
        <v>486</v>
      </c>
      <c r="G134" s="1">
        <v>51520</v>
      </c>
      <c r="H134" s="1" t="s">
        <v>488</v>
      </c>
      <c r="I134" s="1"/>
    </row>
    <row r="135" spans="1:9" x14ac:dyDescent="0.35">
      <c r="A135" s="1" t="s">
        <v>80</v>
      </c>
      <c r="B135" s="1" t="s">
        <v>490</v>
      </c>
      <c r="C135" s="1" t="s">
        <v>491</v>
      </c>
      <c r="D135" s="1">
        <v>3020510000892</v>
      </c>
      <c r="E135" s="1" t="s">
        <v>500</v>
      </c>
      <c r="F135" s="1"/>
      <c r="G135" s="1">
        <v>59553</v>
      </c>
      <c r="H135" s="1" t="s">
        <v>81</v>
      </c>
      <c r="I135" s="1" t="s">
        <v>511</v>
      </c>
    </row>
    <row r="136" spans="1:9" x14ac:dyDescent="0.35">
      <c r="A136" s="1" t="s">
        <v>80</v>
      </c>
      <c r="B136" s="1"/>
      <c r="C136" s="1" t="s">
        <v>492</v>
      </c>
      <c r="D136" s="1">
        <v>3020510000700</v>
      </c>
      <c r="E136" s="1" t="s">
        <v>501</v>
      </c>
      <c r="F136" s="1"/>
      <c r="G136" s="1">
        <v>62217</v>
      </c>
      <c r="H136" s="1" t="s">
        <v>509</v>
      </c>
      <c r="I136" s="1"/>
    </row>
    <row r="137" spans="1:9" x14ac:dyDescent="0.35">
      <c r="A137" s="1" t="s">
        <v>80</v>
      </c>
      <c r="B137" s="1"/>
      <c r="C137" s="1" t="s">
        <v>493</v>
      </c>
      <c r="D137" s="1">
        <v>3020510000403</v>
      </c>
      <c r="E137" s="1" t="s">
        <v>502</v>
      </c>
      <c r="F137" s="1" t="s">
        <v>507</v>
      </c>
      <c r="G137" s="1">
        <v>62217</v>
      </c>
      <c r="H137" s="1" t="s">
        <v>509</v>
      </c>
      <c r="I137" s="1"/>
    </row>
    <row r="138" spans="1:9" x14ac:dyDescent="0.35">
      <c r="A138" s="1" t="s">
        <v>80</v>
      </c>
      <c r="B138" s="1"/>
      <c r="C138" s="1" t="s">
        <v>494</v>
      </c>
      <c r="D138" s="1">
        <v>3020510000205</v>
      </c>
      <c r="E138" s="1" t="s">
        <v>502</v>
      </c>
      <c r="F138" s="1" t="s">
        <v>506</v>
      </c>
      <c r="G138" s="1">
        <v>62217</v>
      </c>
      <c r="H138" s="1" t="s">
        <v>509</v>
      </c>
      <c r="I138" s="1" t="s">
        <v>82</v>
      </c>
    </row>
    <row r="139" spans="1:9" x14ac:dyDescent="0.35">
      <c r="A139" s="1" t="s">
        <v>80</v>
      </c>
      <c r="B139" s="1"/>
      <c r="C139" s="1" t="s">
        <v>495</v>
      </c>
      <c r="D139" s="1">
        <v>3020510000304</v>
      </c>
      <c r="E139" s="1" t="s">
        <v>502</v>
      </c>
      <c r="F139" s="1" t="s">
        <v>506</v>
      </c>
      <c r="G139" s="1">
        <v>62217</v>
      </c>
      <c r="H139" s="1" t="s">
        <v>509</v>
      </c>
      <c r="I139" s="1"/>
    </row>
    <row r="140" spans="1:9" x14ac:dyDescent="0.35">
      <c r="A140" s="1" t="s">
        <v>80</v>
      </c>
      <c r="B140" s="1"/>
      <c r="C140" s="1" t="s">
        <v>496</v>
      </c>
      <c r="D140" s="1">
        <v>3020510000106</v>
      </c>
      <c r="E140" s="1" t="s">
        <v>503</v>
      </c>
      <c r="F140" s="1" t="s">
        <v>506</v>
      </c>
      <c r="G140" s="1">
        <v>62217</v>
      </c>
      <c r="H140" s="1" t="s">
        <v>509</v>
      </c>
      <c r="I140" s="1" t="s">
        <v>82</v>
      </c>
    </row>
    <row r="141" spans="1:9" x14ac:dyDescent="0.35">
      <c r="A141" s="1" t="s">
        <v>80</v>
      </c>
      <c r="B141" s="1"/>
      <c r="C141" s="1" t="s">
        <v>497</v>
      </c>
      <c r="D141" s="1">
        <v>3020510000212</v>
      </c>
      <c r="E141" s="1" t="s">
        <v>504</v>
      </c>
      <c r="F141" s="1" t="s">
        <v>508</v>
      </c>
      <c r="G141" s="1">
        <v>59450</v>
      </c>
      <c r="H141" s="1" t="s">
        <v>510</v>
      </c>
      <c r="I141" s="1" t="s">
        <v>512</v>
      </c>
    </row>
    <row r="142" spans="1:9" x14ac:dyDescent="0.35">
      <c r="A142" s="1" t="s">
        <v>80</v>
      </c>
      <c r="B142" s="1"/>
      <c r="C142" s="1" t="s">
        <v>498</v>
      </c>
      <c r="D142" s="1">
        <v>3030001400500</v>
      </c>
      <c r="E142" s="1" t="s">
        <v>505</v>
      </c>
      <c r="F142" s="1" t="s">
        <v>506</v>
      </c>
      <c r="G142" s="1">
        <v>62217</v>
      </c>
      <c r="H142" s="1" t="s">
        <v>509</v>
      </c>
      <c r="I142" s="1" t="s">
        <v>83</v>
      </c>
    </row>
    <row r="143" spans="1:9" x14ac:dyDescent="0.35">
      <c r="A143" s="1" t="s">
        <v>80</v>
      </c>
      <c r="B143" s="1"/>
      <c r="C143" s="1" t="s">
        <v>499</v>
      </c>
      <c r="D143" s="1">
        <v>3020510000502</v>
      </c>
      <c r="E143" s="1" t="s">
        <v>506</v>
      </c>
      <c r="F143" s="1"/>
      <c r="G143" s="1">
        <v>62217</v>
      </c>
      <c r="H143" s="1" t="s">
        <v>509</v>
      </c>
      <c r="I143" s="1"/>
    </row>
    <row r="144" spans="1:9" x14ac:dyDescent="0.35">
      <c r="A144" s="1" t="s">
        <v>519</v>
      </c>
      <c r="B144" s="1" t="s">
        <v>513</v>
      </c>
      <c r="C144" s="1" t="s">
        <v>514</v>
      </c>
      <c r="D144" s="1">
        <v>3020710000104</v>
      </c>
      <c r="E144" s="1" t="s">
        <v>516</v>
      </c>
      <c r="F144" s="1" t="s">
        <v>84</v>
      </c>
      <c r="G144" s="1">
        <v>10121</v>
      </c>
      <c r="H144" s="1" t="s">
        <v>518</v>
      </c>
      <c r="I144" s="1" t="s">
        <v>85</v>
      </c>
    </row>
    <row r="145" spans="1:9" x14ac:dyDescent="0.35">
      <c r="A145" s="1" t="s">
        <v>519</v>
      </c>
      <c r="B145" s="1"/>
      <c r="C145" s="1" t="s">
        <v>515</v>
      </c>
      <c r="D145" s="1">
        <v>3024820108033</v>
      </c>
      <c r="E145" s="1" t="s">
        <v>517</v>
      </c>
      <c r="F145" s="1"/>
      <c r="G145" s="1">
        <v>10120</v>
      </c>
      <c r="H145" s="1" t="s">
        <v>518</v>
      </c>
      <c r="I145" s="1"/>
    </row>
    <row r="146" spans="1:9" x14ac:dyDescent="0.35">
      <c r="A146" s="1" t="s">
        <v>86</v>
      </c>
      <c r="B146" s="1" t="s">
        <v>520</v>
      </c>
      <c r="C146" s="1" t="s">
        <v>521</v>
      </c>
      <c r="D146" s="1">
        <v>3025390001601</v>
      </c>
      <c r="E146" s="1" t="s">
        <v>542</v>
      </c>
      <c r="F146" s="1"/>
      <c r="G146" s="1">
        <v>51100</v>
      </c>
      <c r="H146" s="1" t="s">
        <v>7</v>
      </c>
      <c r="I146" s="1" t="s">
        <v>569</v>
      </c>
    </row>
    <row r="147" spans="1:9" x14ac:dyDescent="0.35">
      <c r="A147" s="1" t="s">
        <v>86</v>
      </c>
      <c r="B147" s="1"/>
      <c r="C147" s="1" t="s">
        <v>522</v>
      </c>
      <c r="D147" s="1">
        <v>3025399000100</v>
      </c>
      <c r="E147" s="1" t="s">
        <v>543</v>
      </c>
      <c r="F147" s="1" t="s">
        <v>559</v>
      </c>
      <c r="G147" s="1">
        <v>51450</v>
      </c>
      <c r="H147" s="1" t="s">
        <v>87</v>
      </c>
      <c r="I147" s="1" t="s">
        <v>570</v>
      </c>
    </row>
    <row r="148" spans="1:9" x14ac:dyDescent="0.35">
      <c r="A148" s="1" t="s">
        <v>86</v>
      </c>
      <c r="B148" s="1"/>
      <c r="C148" s="1" t="s">
        <v>523</v>
      </c>
      <c r="D148" s="1">
        <v>3025399000407</v>
      </c>
      <c r="E148" s="1" t="s">
        <v>544</v>
      </c>
      <c r="F148" s="1"/>
      <c r="G148" s="1">
        <v>51100</v>
      </c>
      <c r="H148" s="1" t="s">
        <v>7</v>
      </c>
      <c r="I148" s="1"/>
    </row>
    <row r="149" spans="1:9" x14ac:dyDescent="0.35">
      <c r="A149" s="1" t="s">
        <v>86</v>
      </c>
      <c r="B149" s="1"/>
      <c r="C149" s="1" t="s">
        <v>524</v>
      </c>
      <c r="D149" s="1">
        <v>3025390000307</v>
      </c>
      <c r="E149" s="1" t="s">
        <v>545</v>
      </c>
      <c r="F149" s="1" t="s">
        <v>560</v>
      </c>
      <c r="G149" s="1">
        <v>51039</v>
      </c>
      <c r="H149" s="1" t="s">
        <v>567</v>
      </c>
      <c r="I149" s="1"/>
    </row>
    <row r="150" spans="1:9" x14ac:dyDescent="0.35">
      <c r="A150" s="1" t="s">
        <v>86</v>
      </c>
      <c r="B150" s="1"/>
      <c r="C150" s="1" t="s">
        <v>525</v>
      </c>
      <c r="D150" s="1">
        <v>3025399000308</v>
      </c>
      <c r="E150" s="1" t="s">
        <v>546</v>
      </c>
      <c r="F150" s="1" t="s">
        <v>561</v>
      </c>
      <c r="G150" s="1">
        <v>8300</v>
      </c>
      <c r="H150" s="1" t="s">
        <v>568</v>
      </c>
      <c r="I150" s="1"/>
    </row>
    <row r="151" spans="1:9" x14ac:dyDescent="0.35">
      <c r="A151" s="1" t="s">
        <v>86</v>
      </c>
      <c r="B151" s="1"/>
      <c r="C151" s="1" t="s">
        <v>526</v>
      </c>
      <c r="D151" s="1">
        <v>3025390002103</v>
      </c>
      <c r="E151" s="1" t="s">
        <v>547</v>
      </c>
      <c r="F151" s="1" t="s">
        <v>562</v>
      </c>
      <c r="G151" s="1">
        <v>51039</v>
      </c>
      <c r="H151" s="1" t="s">
        <v>567</v>
      </c>
      <c r="I151" s="1"/>
    </row>
    <row r="152" spans="1:9" x14ac:dyDescent="0.35">
      <c r="A152" s="1" t="s">
        <v>86</v>
      </c>
      <c r="B152" s="1"/>
      <c r="C152" s="1" t="s">
        <v>527</v>
      </c>
      <c r="D152" s="1">
        <v>3025390000802</v>
      </c>
      <c r="E152" s="1" t="s">
        <v>548</v>
      </c>
      <c r="F152" s="1" t="s">
        <v>560</v>
      </c>
      <c r="G152" s="1">
        <v>51039</v>
      </c>
      <c r="H152" s="1" t="s">
        <v>567</v>
      </c>
      <c r="I152" s="1"/>
    </row>
    <row r="153" spans="1:9" x14ac:dyDescent="0.35">
      <c r="A153" s="1" t="s">
        <v>86</v>
      </c>
      <c r="B153" s="1"/>
      <c r="C153" s="1" t="s">
        <v>528</v>
      </c>
      <c r="D153" s="1">
        <v>9999999999999</v>
      </c>
      <c r="E153" s="1" t="s">
        <v>545</v>
      </c>
      <c r="F153" s="1" t="s">
        <v>560</v>
      </c>
      <c r="G153" s="1">
        <v>51039</v>
      </c>
      <c r="H153" s="1" t="s">
        <v>567</v>
      </c>
      <c r="I153" s="1"/>
    </row>
    <row r="154" spans="1:9" x14ac:dyDescent="0.35">
      <c r="A154" s="1" t="s">
        <v>86</v>
      </c>
      <c r="B154" s="1"/>
      <c r="C154" s="1" t="s">
        <v>529</v>
      </c>
      <c r="D154" s="1">
        <v>3025390001304</v>
      </c>
      <c r="E154" s="1" t="s">
        <v>549</v>
      </c>
      <c r="F154" s="1"/>
      <c r="G154" s="1">
        <v>51100</v>
      </c>
      <c r="H154" s="1" t="s">
        <v>7</v>
      </c>
      <c r="I154" s="1"/>
    </row>
    <row r="155" spans="1:9" x14ac:dyDescent="0.35">
      <c r="A155" s="1" t="s">
        <v>86</v>
      </c>
      <c r="B155" s="1"/>
      <c r="C155" s="1" t="s">
        <v>530</v>
      </c>
      <c r="D155" s="1">
        <v>3025390001206</v>
      </c>
      <c r="E155" s="1" t="s">
        <v>550</v>
      </c>
      <c r="F155" s="1" t="s">
        <v>563</v>
      </c>
      <c r="G155" s="1">
        <v>51100</v>
      </c>
      <c r="H155" s="1" t="s">
        <v>7</v>
      </c>
      <c r="I155" s="1"/>
    </row>
    <row r="156" spans="1:9" x14ac:dyDescent="0.35">
      <c r="A156" s="1" t="s">
        <v>86</v>
      </c>
      <c r="B156" s="1"/>
      <c r="C156" s="1" t="s">
        <v>531</v>
      </c>
      <c r="D156" s="1">
        <v>3025390000406</v>
      </c>
      <c r="E156" s="1" t="s">
        <v>545</v>
      </c>
      <c r="F156" s="1" t="s">
        <v>560</v>
      </c>
      <c r="G156" s="1">
        <v>51039</v>
      </c>
      <c r="H156" s="1" t="s">
        <v>567</v>
      </c>
      <c r="I156" s="1" t="s">
        <v>89</v>
      </c>
    </row>
    <row r="157" spans="1:9" x14ac:dyDescent="0.35">
      <c r="A157" s="1" t="s">
        <v>86</v>
      </c>
      <c r="B157" s="1"/>
      <c r="C157" s="1" t="s">
        <v>532</v>
      </c>
      <c r="D157" s="1">
        <v>3025390001403</v>
      </c>
      <c r="E157" s="1" t="s">
        <v>551</v>
      </c>
      <c r="F157" s="1" t="s">
        <v>564</v>
      </c>
      <c r="G157" s="1">
        <v>57365</v>
      </c>
      <c r="H157" s="1" t="s">
        <v>90</v>
      </c>
      <c r="I157" s="1"/>
    </row>
    <row r="158" spans="1:9" x14ac:dyDescent="0.35">
      <c r="A158" s="1" t="s">
        <v>86</v>
      </c>
      <c r="B158" s="1"/>
      <c r="C158" s="1" t="s">
        <v>533</v>
      </c>
      <c r="D158" s="1">
        <v>3025390000109</v>
      </c>
      <c r="E158" s="1" t="s">
        <v>545</v>
      </c>
      <c r="F158" s="1" t="s">
        <v>488</v>
      </c>
      <c r="G158" s="1">
        <v>51039</v>
      </c>
      <c r="H158" s="1" t="s">
        <v>567</v>
      </c>
      <c r="I158" s="1"/>
    </row>
    <row r="159" spans="1:9" x14ac:dyDescent="0.35">
      <c r="A159" s="1" t="s">
        <v>86</v>
      </c>
      <c r="B159" s="1"/>
      <c r="C159" s="1" t="s">
        <v>534</v>
      </c>
      <c r="D159" s="1">
        <v>3025390002202</v>
      </c>
      <c r="E159" s="1" t="s">
        <v>552</v>
      </c>
      <c r="F159" s="1" t="s">
        <v>562</v>
      </c>
      <c r="G159" s="1">
        <v>51039</v>
      </c>
      <c r="H159" s="1" t="s">
        <v>567</v>
      </c>
      <c r="I159" s="1"/>
    </row>
    <row r="160" spans="1:9" x14ac:dyDescent="0.35">
      <c r="A160" s="1" t="s">
        <v>86</v>
      </c>
      <c r="B160" s="1"/>
      <c r="C160" s="1" t="s">
        <v>535</v>
      </c>
      <c r="D160" s="1">
        <v>3025390000208</v>
      </c>
      <c r="E160" s="1" t="s">
        <v>553</v>
      </c>
      <c r="F160" s="1" t="s">
        <v>560</v>
      </c>
      <c r="G160" s="1">
        <v>51039</v>
      </c>
      <c r="H160" s="1" t="s">
        <v>567</v>
      </c>
      <c r="I160" s="1"/>
    </row>
    <row r="161" spans="1:9" x14ac:dyDescent="0.35">
      <c r="A161" s="1" t="s">
        <v>86</v>
      </c>
      <c r="B161" s="1"/>
      <c r="C161" s="1" t="s">
        <v>536</v>
      </c>
      <c r="D161" s="1">
        <v>3025390001106</v>
      </c>
      <c r="E161" s="1" t="s">
        <v>554</v>
      </c>
      <c r="F161" s="1" t="s">
        <v>488</v>
      </c>
      <c r="G161" s="1">
        <v>51039</v>
      </c>
      <c r="H161" s="1" t="s">
        <v>567</v>
      </c>
      <c r="I161" s="1"/>
    </row>
    <row r="162" spans="1:9" x14ac:dyDescent="0.35">
      <c r="A162" s="1" t="s">
        <v>86</v>
      </c>
      <c r="B162" s="1"/>
      <c r="C162" s="1" t="s">
        <v>537</v>
      </c>
      <c r="D162" s="1">
        <v>3025390000505</v>
      </c>
      <c r="E162" s="1" t="s">
        <v>545</v>
      </c>
      <c r="F162" s="1" t="s">
        <v>560</v>
      </c>
      <c r="G162" s="1">
        <v>51039</v>
      </c>
      <c r="H162" s="1" t="s">
        <v>567</v>
      </c>
      <c r="I162" s="1"/>
    </row>
    <row r="163" spans="1:9" x14ac:dyDescent="0.35">
      <c r="A163" s="1" t="s">
        <v>86</v>
      </c>
      <c r="B163" s="1"/>
      <c r="C163" s="1" t="s">
        <v>538</v>
      </c>
      <c r="D163" s="1">
        <v>3025390001700</v>
      </c>
      <c r="E163" s="1" t="s">
        <v>555</v>
      </c>
      <c r="F163" s="1"/>
      <c r="G163" s="1">
        <v>51520</v>
      </c>
      <c r="H163" s="1" t="s">
        <v>91</v>
      </c>
      <c r="I163" s="1"/>
    </row>
    <row r="164" spans="1:9" x14ac:dyDescent="0.35">
      <c r="A164" s="1" t="s">
        <v>86</v>
      </c>
      <c r="B164" s="1"/>
      <c r="C164" s="1" t="s">
        <v>539</v>
      </c>
      <c r="D164" s="1">
        <v>3025390001007</v>
      </c>
      <c r="E164" s="1" t="s">
        <v>556</v>
      </c>
      <c r="F164" s="1" t="s">
        <v>488</v>
      </c>
      <c r="G164" s="1">
        <v>51039</v>
      </c>
      <c r="H164" s="1" t="s">
        <v>567</v>
      </c>
      <c r="I164" s="1"/>
    </row>
    <row r="165" spans="1:9" x14ac:dyDescent="0.35">
      <c r="A165" s="1" t="s">
        <v>86</v>
      </c>
      <c r="B165" s="1"/>
      <c r="C165" s="1" t="s">
        <v>540</v>
      </c>
      <c r="D165" s="1">
        <v>3025390000703</v>
      </c>
      <c r="E165" s="1" t="s">
        <v>557</v>
      </c>
      <c r="F165" s="1" t="s">
        <v>565</v>
      </c>
      <c r="G165" s="1">
        <v>51320</v>
      </c>
      <c r="H165" s="1" t="s">
        <v>92</v>
      </c>
      <c r="I165" s="1" t="s">
        <v>93</v>
      </c>
    </row>
    <row r="166" spans="1:9" x14ac:dyDescent="0.35">
      <c r="A166" s="1" t="s">
        <v>86</v>
      </c>
      <c r="B166" s="1"/>
      <c r="C166" s="1" t="s">
        <v>541</v>
      </c>
      <c r="D166" s="1">
        <v>3025399000209</v>
      </c>
      <c r="E166" s="1" t="s">
        <v>558</v>
      </c>
      <c r="F166" s="1" t="s">
        <v>566</v>
      </c>
      <c r="G166" s="1">
        <v>54710</v>
      </c>
      <c r="H166" s="1" t="s">
        <v>94</v>
      </c>
      <c r="I166" s="1"/>
    </row>
    <row r="167" spans="1:9" x14ac:dyDescent="0.35">
      <c r="A167" s="1" t="s">
        <v>95</v>
      </c>
      <c r="B167" s="1" t="s">
        <v>571</v>
      </c>
      <c r="C167" s="1" t="s">
        <v>95</v>
      </c>
      <c r="D167" s="1">
        <v>3021390000101</v>
      </c>
      <c r="E167" s="1" t="s">
        <v>578</v>
      </c>
      <c r="F167" s="1"/>
      <c r="G167" s="1">
        <v>95820</v>
      </c>
      <c r="H167" s="1" t="s">
        <v>583</v>
      </c>
      <c r="I167" s="1" t="s">
        <v>96</v>
      </c>
    </row>
    <row r="168" spans="1:9" x14ac:dyDescent="0.35">
      <c r="A168" s="1" t="s">
        <v>95</v>
      </c>
      <c r="B168" s="1"/>
      <c r="C168" s="1" t="s">
        <v>572</v>
      </c>
      <c r="D168" s="1">
        <v>3021390000170</v>
      </c>
      <c r="E168" s="1" t="s">
        <v>579</v>
      </c>
      <c r="F168" s="1"/>
      <c r="G168" s="1">
        <v>95820</v>
      </c>
      <c r="H168" s="1" t="s">
        <v>583</v>
      </c>
      <c r="I168" s="1"/>
    </row>
    <row r="169" spans="1:9" x14ac:dyDescent="0.35">
      <c r="A169" s="1" t="s">
        <v>95</v>
      </c>
      <c r="B169" s="1"/>
      <c r="C169" s="1" t="s">
        <v>573</v>
      </c>
      <c r="D169" s="1">
        <v>3021390000132</v>
      </c>
      <c r="E169" s="1" t="s">
        <v>580</v>
      </c>
      <c r="F169" s="1"/>
      <c r="G169" s="1">
        <v>95820</v>
      </c>
      <c r="H169" s="1" t="s">
        <v>583</v>
      </c>
      <c r="I169" s="1"/>
    </row>
    <row r="170" spans="1:9" x14ac:dyDescent="0.35">
      <c r="A170" s="1" t="s">
        <v>95</v>
      </c>
      <c r="B170" s="1"/>
      <c r="C170" s="1" t="s">
        <v>574</v>
      </c>
      <c r="D170" s="1">
        <v>3021390000125</v>
      </c>
      <c r="E170" s="1" t="s">
        <v>581</v>
      </c>
      <c r="F170" s="1" t="s">
        <v>582</v>
      </c>
      <c r="G170" s="1">
        <v>95820</v>
      </c>
      <c r="H170" s="1" t="s">
        <v>583</v>
      </c>
      <c r="I170" s="1"/>
    </row>
    <row r="171" spans="1:9" x14ac:dyDescent="0.35">
      <c r="A171" s="1" t="s">
        <v>95</v>
      </c>
      <c r="B171" s="1"/>
      <c r="C171" s="1" t="s">
        <v>575</v>
      </c>
      <c r="D171" s="1">
        <v>3021390000156</v>
      </c>
      <c r="E171" s="1" t="s">
        <v>580</v>
      </c>
      <c r="F171" s="1"/>
      <c r="G171" s="1">
        <v>95820</v>
      </c>
      <c r="H171" s="1" t="s">
        <v>583</v>
      </c>
      <c r="I171" s="1"/>
    </row>
    <row r="172" spans="1:9" x14ac:dyDescent="0.35">
      <c r="A172" s="1" t="s">
        <v>95</v>
      </c>
      <c r="B172" s="1"/>
      <c r="C172" s="1" t="s">
        <v>576</v>
      </c>
      <c r="D172" s="1">
        <v>3021390000149</v>
      </c>
      <c r="E172" s="1" t="s">
        <v>580</v>
      </c>
      <c r="F172" s="1"/>
      <c r="G172" s="1">
        <v>95820</v>
      </c>
      <c r="H172" s="1" t="s">
        <v>583</v>
      </c>
      <c r="I172" s="1"/>
    </row>
    <row r="173" spans="1:9" x14ac:dyDescent="0.35">
      <c r="A173" s="1" t="s">
        <v>95</v>
      </c>
      <c r="B173" s="1"/>
      <c r="C173" s="1" t="s">
        <v>577</v>
      </c>
      <c r="D173" s="1">
        <v>3021390000163</v>
      </c>
      <c r="E173" s="1" t="s">
        <v>580</v>
      </c>
      <c r="F173" s="1"/>
      <c r="G173" s="1">
        <v>95820</v>
      </c>
      <c r="H173" s="1" t="s">
        <v>583</v>
      </c>
      <c r="I173" s="1"/>
    </row>
    <row r="174" spans="1:9" x14ac:dyDescent="0.35">
      <c r="A174" s="1" t="s">
        <v>97</v>
      </c>
      <c r="B174" s="1" t="s">
        <v>584</v>
      </c>
      <c r="C174" s="1" t="s">
        <v>98</v>
      </c>
      <c r="D174" s="1">
        <v>3025681606485</v>
      </c>
      <c r="E174" s="1" t="s">
        <v>605</v>
      </c>
      <c r="F174" s="1" t="s">
        <v>621</v>
      </c>
      <c r="G174" s="1">
        <v>29490</v>
      </c>
      <c r="H174" s="1" t="s">
        <v>99</v>
      </c>
      <c r="I174" s="1"/>
    </row>
    <row r="175" spans="1:9" x14ac:dyDescent="0.35">
      <c r="A175" s="1" t="s">
        <v>97</v>
      </c>
      <c r="B175" s="1"/>
      <c r="C175" s="1" t="s">
        <v>585</v>
      </c>
      <c r="D175" s="1">
        <v>3031230000100</v>
      </c>
      <c r="E175" s="1" t="s">
        <v>606</v>
      </c>
      <c r="F175" s="1" t="s">
        <v>622</v>
      </c>
      <c r="G175" s="1">
        <v>29260</v>
      </c>
      <c r="H175" s="1" t="s">
        <v>100</v>
      </c>
      <c r="I175" s="1"/>
    </row>
    <row r="176" spans="1:9" x14ac:dyDescent="0.35">
      <c r="A176" s="1" t="s">
        <v>97</v>
      </c>
      <c r="B176" s="1"/>
      <c r="C176" s="1" t="s">
        <v>586</v>
      </c>
      <c r="D176" s="1">
        <v>3030001700700</v>
      </c>
      <c r="E176" s="1" t="s">
        <v>607</v>
      </c>
      <c r="F176" s="1" t="s">
        <v>623</v>
      </c>
      <c r="G176" s="1">
        <v>22122</v>
      </c>
      <c r="H176" s="1" t="s">
        <v>627</v>
      </c>
      <c r="I176" s="1" t="s">
        <v>635</v>
      </c>
    </row>
    <row r="177" spans="1:9" x14ac:dyDescent="0.35">
      <c r="A177" s="1" t="s">
        <v>97</v>
      </c>
      <c r="B177" s="1"/>
      <c r="C177" s="1" t="s">
        <v>587</v>
      </c>
      <c r="D177" s="1">
        <v>3030003400100</v>
      </c>
      <c r="E177" s="1" t="s">
        <v>608</v>
      </c>
      <c r="F177" s="1" t="s">
        <v>624</v>
      </c>
      <c r="G177" s="1">
        <v>35770</v>
      </c>
      <c r="H177" s="1" t="s">
        <v>628</v>
      </c>
      <c r="I177" s="1" t="s">
        <v>636</v>
      </c>
    </row>
    <row r="178" spans="1:9" x14ac:dyDescent="0.35">
      <c r="A178" s="1" t="s">
        <v>97</v>
      </c>
      <c r="B178" s="1"/>
      <c r="C178" s="1" t="s">
        <v>588</v>
      </c>
      <c r="D178" s="1">
        <v>3030001705507</v>
      </c>
      <c r="E178" s="1" t="s">
        <v>609</v>
      </c>
      <c r="F178" s="1" t="s">
        <v>625</v>
      </c>
      <c r="G178" s="1">
        <v>29400</v>
      </c>
      <c r="H178" s="1" t="s">
        <v>101</v>
      </c>
      <c r="I178" s="1"/>
    </row>
    <row r="179" spans="1:9" x14ac:dyDescent="0.35">
      <c r="A179" s="1" t="s">
        <v>97</v>
      </c>
      <c r="B179" s="1"/>
      <c r="C179" s="1" t="s">
        <v>589</v>
      </c>
      <c r="D179" s="1">
        <v>3031230000000</v>
      </c>
      <c r="E179" s="1" t="s">
        <v>606</v>
      </c>
      <c r="F179" s="1" t="s">
        <v>626</v>
      </c>
      <c r="G179" s="1">
        <v>29260</v>
      </c>
      <c r="H179" s="1" t="s">
        <v>100</v>
      </c>
      <c r="I179" s="1"/>
    </row>
    <row r="180" spans="1:9" x14ac:dyDescent="0.35">
      <c r="A180" s="1" t="s">
        <v>97</v>
      </c>
      <c r="B180" s="1"/>
      <c r="C180" s="1" t="s">
        <v>590</v>
      </c>
      <c r="D180" s="1">
        <v>3016022622202</v>
      </c>
      <c r="E180" s="1" t="s">
        <v>610</v>
      </c>
      <c r="F180" s="1" t="s">
        <v>103</v>
      </c>
      <c r="G180" s="1">
        <v>22000</v>
      </c>
      <c r="H180" s="1" t="s">
        <v>629</v>
      </c>
      <c r="I180" s="1" t="s">
        <v>637</v>
      </c>
    </row>
    <row r="181" spans="1:9" x14ac:dyDescent="0.35">
      <c r="A181" s="1" t="s">
        <v>97</v>
      </c>
      <c r="B181" s="1"/>
      <c r="C181" s="1" t="s">
        <v>591</v>
      </c>
      <c r="D181" s="1">
        <v>3031240000000</v>
      </c>
      <c r="E181" s="1" t="s">
        <v>611</v>
      </c>
      <c r="F181" s="1"/>
      <c r="G181" s="1">
        <v>35530</v>
      </c>
      <c r="H181" s="1" t="s">
        <v>630</v>
      </c>
      <c r="I181" s="1"/>
    </row>
    <row r="182" spans="1:9" x14ac:dyDescent="0.35">
      <c r="A182" s="1" t="s">
        <v>97</v>
      </c>
      <c r="B182" s="1"/>
      <c r="C182" s="1" t="s">
        <v>592</v>
      </c>
      <c r="D182" s="1">
        <v>3700623735002</v>
      </c>
      <c r="E182" s="1" t="s">
        <v>612</v>
      </c>
      <c r="F182" s="1"/>
      <c r="G182" s="1">
        <v>35000</v>
      </c>
      <c r="H182" s="1" t="s">
        <v>102</v>
      </c>
      <c r="I182" s="1"/>
    </row>
    <row r="183" spans="1:9" x14ac:dyDescent="0.35">
      <c r="A183" s="1" t="s">
        <v>97</v>
      </c>
      <c r="B183" s="1"/>
      <c r="C183" s="1" t="s">
        <v>593</v>
      </c>
      <c r="D183" s="1">
        <v>3025680008105</v>
      </c>
      <c r="E183" s="1" t="s">
        <v>613</v>
      </c>
      <c r="F183" s="1"/>
      <c r="G183" s="1">
        <v>29480</v>
      </c>
      <c r="H183" s="1" t="s">
        <v>631</v>
      </c>
      <c r="I183" s="1"/>
    </row>
    <row r="184" spans="1:9" x14ac:dyDescent="0.35">
      <c r="A184" s="1" t="s">
        <v>97</v>
      </c>
      <c r="B184" s="1"/>
      <c r="C184" s="1" t="s">
        <v>594</v>
      </c>
      <c r="D184" s="1">
        <v>3025680000200</v>
      </c>
      <c r="E184" s="1" t="s">
        <v>614</v>
      </c>
      <c r="F184" s="1"/>
      <c r="G184" s="1">
        <v>29480</v>
      </c>
      <c r="H184" s="1" t="s">
        <v>632</v>
      </c>
      <c r="I184" s="1" t="s">
        <v>638</v>
      </c>
    </row>
    <row r="185" spans="1:9" x14ac:dyDescent="0.35">
      <c r="A185" s="1" t="s">
        <v>97</v>
      </c>
      <c r="B185" s="1"/>
      <c r="C185" s="1" t="s">
        <v>595</v>
      </c>
      <c r="D185" s="1">
        <v>3025680000300</v>
      </c>
      <c r="E185" s="1" t="s">
        <v>615</v>
      </c>
      <c r="F185" s="1"/>
      <c r="G185" s="1">
        <v>29480</v>
      </c>
      <c r="H185" s="1" t="s">
        <v>632</v>
      </c>
      <c r="I185" s="1" t="s">
        <v>638</v>
      </c>
    </row>
    <row r="186" spans="1:9" x14ac:dyDescent="0.35">
      <c r="A186" s="1" t="s">
        <v>97</v>
      </c>
      <c r="B186" s="1"/>
      <c r="C186" s="1" t="s">
        <v>596</v>
      </c>
      <c r="D186" s="1">
        <v>3025680000600</v>
      </c>
      <c r="E186" s="1" t="s">
        <v>615</v>
      </c>
      <c r="F186" s="1"/>
      <c r="G186" s="1">
        <v>29480</v>
      </c>
      <c r="H186" s="1" t="s">
        <v>633</v>
      </c>
      <c r="I186" s="1" t="s">
        <v>638</v>
      </c>
    </row>
    <row r="187" spans="1:9" x14ac:dyDescent="0.35">
      <c r="A187" s="1" t="s">
        <v>97</v>
      </c>
      <c r="B187" s="1"/>
      <c r="C187" s="1" t="s">
        <v>597</v>
      </c>
      <c r="D187" s="1">
        <v>3025680000400</v>
      </c>
      <c r="E187" s="1" t="s">
        <v>615</v>
      </c>
      <c r="F187" s="1"/>
      <c r="G187" s="1">
        <v>29480</v>
      </c>
      <c r="H187" s="1" t="s">
        <v>632</v>
      </c>
      <c r="I187" s="1" t="s">
        <v>638</v>
      </c>
    </row>
    <row r="188" spans="1:9" x14ac:dyDescent="0.35">
      <c r="A188" s="1" t="s">
        <v>97</v>
      </c>
      <c r="B188" s="1"/>
      <c r="C188" s="1" t="s">
        <v>598</v>
      </c>
      <c r="D188" s="1">
        <v>3025680000100</v>
      </c>
      <c r="E188" s="1" t="s">
        <v>616</v>
      </c>
      <c r="F188" s="1"/>
      <c r="G188" s="1">
        <v>29419</v>
      </c>
      <c r="H188" s="1" t="s">
        <v>634</v>
      </c>
      <c r="I188" s="1" t="s">
        <v>638</v>
      </c>
    </row>
    <row r="189" spans="1:9" x14ac:dyDescent="0.35">
      <c r="A189" s="1" t="s">
        <v>97</v>
      </c>
      <c r="B189" s="1"/>
      <c r="C189" s="1" t="s">
        <v>599</v>
      </c>
      <c r="D189" s="1">
        <v>3025680000500</v>
      </c>
      <c r="E189" s="1" t="s">
        <v>617</v>
      </c>
      <c r="F189" s="1"/>
      <c r="G189" s="1">
        <v>29480</v>
      </c>
      <c r="H189" s="1" t="s">
        <v>632</v>
      </c>
      <c r="I189" s="1" t="s">
        <v>638</v>
      </c>
    </row>
    <row r="190" spans="1:9" x14ac:dyDescent="0.35">
      <c r="A190" s="1" t="s">
        <v>97</v>
      </c>
      <c r="B190" s="1"/>
      <c r="C190" s="1" t="s">
        <v>600</v>
      </c>
      <c r="D190" s="1">
        <v>3025680009102</v>
      </c>
      <c r="E190" s="1" t="s">
        <v>618</v>
      </c>
      <c r="F190" s="1"/>
      <c r="G190" s="1">
        <v>22940</v>
      </c>
      <c r="H190" s="1" t="s">
        <v>104</v>
      </c>
      <c r="I190" s="1">
        <v>970757275</v>
      </c>
    </row>
    <row r="191" spans="1:9" x14ac:dyDescent="0.35">
      <c r="A191" s="1" t="s">
        <v>97</v>
      </c>
      <c r="B191" s="1"/>
      <c r="C191" s="1" t="s">
        <v>601</v>
      </c>
      <c r="D191" s="1">
        <v>3700239500315</v>
      </c>
      <c r="E191" s="1" t="s">
        <v>619</v>
      </c>
      <c r="F191" s="1"/>
      <c r="G191" s="1">
        <v>22940</v>
      </c>
      <c r="H191" s="1" t="s">
        <v>104</v>
      </c>
      <c r="I191" s="1"/>
    </row>
    <row r="192" spans="1:9" x14ac:dyDescent="0.35">
      <c r="A192" s="1" t="s">
        <v>97</v>
      </c>
      <c r="B192" s="1"/>
      <c r="C192" s="1" t="s">
        <v>602</v>
      </c>
      <c r="D192" s="1">
        <v>3700239500322</v>
      </c>
      <c r="E192" s="1" t="s">
        <v>619</v>
      </c>
      <c r="F192" s="1"/>
      <c r="G192" s="1">
        <v>22940</v>
      </c>
      <c r="H192" s="1" t="s">
        <v>104</v>
      </c>
      <c r="I192" s="1"/>
    </row>
    <row r="193" spans="1:9" x14ac:dyDescent="0.35">
      <c r="A193" s="1" t="s">
        <v>97</v>
      </c>
      <c r="B193" s="1"/>
      <c r="C193" s="1" t="s">
        <v>603</v>
      </c>
      <c r="D193" s="1">
        <v>3700239500339</v>
      </c>
      <c r="E193" s="1" t="s">
        <v>620</v>
      </c>
      <c r="F193" s="1"/>
      <c r="G193" s="1">
        <v>22940</v>
      </c>
      <c r="H193" s="1" t="s">
        <v>104</v>
      </c>
      <c r="I193" s="1"/>
    </row>
    <row r="194" spans="1:9" x14ac:dyDescent="0.35">
      <c r="A194" s="1" t="s">
        <v>97</v>
      </c>
      <c r="B194" s="1"/>
      <c r="C194" s="1" t="s">
        <v>604</v>
      </c>
      <c r="D194" s="1">
        <v>3700239500346</v>
      </c>
      <c r="E194" s="1" t="s">
        <v>619</v>
      </c>
      <c r="F194" s="1"/>
      <c r="G194" s="1">
        <v>22940</v>
      </c>
      <c r="H194" s="1" t="s">
        <v>104</v>
      </c>
      <c r="I194" s="1"/>
    </row>
    <row r="195" spans="1:9" x14ac:dyDescent="0.35">
      <c r="A195" s="1" t="s">
        <v>97</v>
      </c>
      <c r="B195" s="1"/>
      <c r="C195" s="1" t="s">
        <v>639</v>
      </c>
      <c r="D195" s="1">
        <v>3700239500353</v>
      </c>
      <c r="E195" s="1" t="s">
        <v>620</v>
      </c>
      <c r="F195" s="1"/>
      <c r="G195" s="1">
        <v>22940</v>
      </c>
      <c r="H195" s="1" t="s">
        <v>104</v>
      </c>
      <c r="I195" s="1"/>
    </row>
    <row r="196" spans="1:9" x14ac:dyDescent="0.35">
      <c r="A196" s="1" t="s">
        <v>97</v>
      </c>
      <c r="B196" s="1"/>
      <c r="C196" s="1" t="s">
        <v>640</v>
      </c>
      <c r="D196" s="1">
        <v>3700239500414</v>
      </c>
      <c r="E196" s="1" t="s">
        <v>645</v>
      </c>
      <c r="F196" s="1"/>
      <c r="G196" s="1">
        <v>29340</v>
      </c>
      <c r="H196" s="1" t="s">
        <v>650</v>
      </c>
      <c r="I196" s="1"/>
    </row>
    <row r="197" spans="1:9" x14ac:dyDescent="0.35">
      <c r="A197" s="1" t="s">
        <v>97</v>
      </c>
      <c r="B197" s="1"/>
      <c r="C197" s="1" t="s">
        <v>641</v>
      </c>
      <c r="D197" s="1">
        <v>3700239500421</v>
      </c>
      <c r="E197" s="1" t="s">
        <v>645</v>
      </c>
      <c r="F197" s="1"/>
      <c r="G197" s="1">
        <v>29340</v>
      </c>
      <c r="H197" s="1" t="s">
        <v>650</v>
      </c>
      <c r="I197" s="1"/>
    </row>
    <row r="198" spans="1:9" x14ac:dyDescent="0.35">
      <c r="A198" s="1" t="s">
        <v>97</v>
      </c>
      <c r="B198" s="1"/>
      <c r="C198" s="1" t="s">
        <v>642</v>
      </c>
      <c r="D198" s="1">
        <v>3700239500438</v>
      </c>
      <c r="E198" s="1" t="s">
        <v>645</v>
      </c>
      <c r="F198" s="1"/>
      <c r="G198" s="1">
        <v>29340</v>
      </c>
      <c r="H198" s="1" t="s">
        <v>650</v>
      </c>
      <c r="I198" s="1"/>
    </row>
    <row r="199" spans="1:9" x14ac:dyDescent="0.35">
      <c r="A199" s="1" t="s">
        <v>97</v>
      </c>
      <c r="B199" s="1"/>
      <c r="C199" s="1" t="s">
        <v>643</v>
      </c>
      <c r="D199" s="1">
        <v>3016022672726</v>
      </c>
      <c r="E199" s="1" t="s">
        <v>646</v>
      </c>
      <c r="F199" s="1" t="s">
        <v>648</v>
      </c>
      <c r="G199" s="1">
        <v>56100</v>
      </c>
      <c r="H199" s="1" t="s">
        <v>105</v>
      </c>
      <c r="I199" s="1" t="s">
        <v>652</v>
      </c>
    </row>
    <row r="200" spans="1:9" x14ac:dyDescent="0.35">
      <c r="A200" s="1" t="s">
        <v>97</v>
      </c>
      <c r="B200" s="1"/>
      <c r="C200" s="1" t="s">
        <v>644</v>
      </c>
      <c r="D200" s="1">
        <v>3030001705506</v>
      </c>
      <c r="E200" s="1" t="s">
        <v>647</v>
      </c>
      <c r="F200" s="1" t="s">
        <v>649</v>
      </c>
      <c r="G200" s="1">
        <v>56037</v>
      </c>
      <c r="H200" s="1" t="s">
        <v>651</v>
      </c>
      <c r="I200" s="1" t="s">
        <v>106</v>
      </c>
    </row>
    <row r="201" spans="1:9" x14ac:dyDescent="0.35">
      <c r="A201" s="1" t="s">
        <v>107</v>
      </c>
      <c r="B201" s="1" t="s">
        <v>653</v>
      </c>
      <c r="C201" s="1" t="s">
        <v>654</v>
      </c>
      <c r="D201" s="1">
        <v>3025720003000</v>
      </c>
      <c r="E201" s="1" t="s">
        <v>666</v>
      </c>
      <c r="F201" s="1"/>
      <c r="G201" s="1">
        <v>19100</v>
      </c>
      <c r="H201" s="1" t="s">
        <v>676</v>
      </c>
      <c r="I201" s="1"/>
    </row>
    <row r="202" spans="1:9" x14ac:dyDescent="0.35">
      <c r="A202" s="1" t="s">
        <v>107</v>
      </c>
      <c r="B202" s="1"/>
      <c r="C202" s="1" t="s">
        <v>655</v>
      </c>
      <c r="D202" s="1">
        <v>3025720008500</v>
      </c>
      <c r="E202" s="1" t="s">
        <v>667</v>
      </c>
      <c r="F202" s="1"/>
      <c r="G202" s="1">
        <v>33612</v>
      </c>
      <c r="H202" s="1" t="s">
        <v>677</v>
      </c>
      <c r="I202" s="1"/>
    </row>
    <row r="203" spans="1:9" x14ac:dyDescent="0.35">
      <c r="A203" s="1" t="s">
        <v>107</v>
      </c>
      <c r="B203" s="1"/>
      <c r="C203" s="1" t="s">
        <v>656</v>
      </c>
      <c r="D203" s="1">
        <v>3025720008000</v>
      </c>
      <c r="E203" s="1" t="s">
        <v>668</v>
      </c>
      <c r="F203" s="1" t="s">
        <v>670</v>
      </c>
      <c r="G203" s="1">
        <v>33612</v>
      </c>
      <c r="H203" s="1" t="s">
        <v>677</v>
      </c>
      <c r="I203" s="1"/>
    </row>
    <row r="204" spans="1:9" x14ac:dyDescent="0.35">
      <c r="A204" s="1" t="s">
        <v>107</v>
      </c>
      <c r="B204" s="1"/>
      <c r="C204" s="1" t="s">
        <v>657</v>
      </c>
      <c r="D204" s="1">
        <v>3025720007006</v>
      </c>
      <c r="E204" s="1" t="s">
        <v>669</v>
      </c>
      <c r="F204" s="1"/>
      <c r="G204" s="1">
        <v>33750</v>
      </c>
      <c r="H204" s="1" t="s">
        <v>108</v>
      </c>
      <c r="I204" s="1"/>
    </row>
    <row r="205" spans="1:9" x14ac:dyDescent="0.35">
      <c r="A205" s="1" t="s">
        <v>107</v>
      </c>
      <c r="B205" s="1"/>
      <c r="C205" s="1" t="s">
        <v>658</v>
      </c>
      <c r="D205" s="1">
        <v>3025720007000</v>
      </c>
      <c r="E205" s="1" t="s">
        <v>669</v>
      </c>
      <c r="F205" s="1" t="s">
        <v>672</v>
      </c>
      <c r="G205" s="1">
        <v>33750</v>
      </c>
      <c r="H205" s="1" t="s">
        <v>108</v>
      </c>
      <c r="I205" s="1"/>
    </row>
    <row r="206" spans="1:9" x14ac:dyDescent="0.35">
      <c r="A206" s="1" t="s">
        <v>107</v>
      </c>
      <c r="B206" s="1"/>
      <c r="C206" s="1" t="s">
        <v>659</v>
      </c>
      <c r="D206" s="1">
        <v>3025720001500</v>
      </c>
      <c r="E206" s="1" t="s">
        <v>670</v>
      </c>
      <c r="F206" s="1" t="s">
        <v>673</v>
      </c>
      <c r="G206" s="1">
        <v>33612</v>
      </c>
      <c r="H206" s="1" t="s">
        <v>677</v>
      </c>
      <c r="I206" s="1"/>
    </row>
    <row r="207" spans="1:9" x14ac:dyDescent="0.35">
      <c r="A207" s="1" t="s">
        <v>107</v>
      </c>
      <c r="B207" s="1"/>
      <c r="C207" s="1" t="s">
        <v>660</v>
      </c>
      <c r="D207" s="1">
        <v>3025720009000</v>
      </c>
      <c r="E207" s="1" t="s">
        <v>670</v>
      </c>
      <c r="F207" s="1" t="s">
        <v>674</v>
      </c>
      <c r="G207" s="1">
        <v>33612</v>
      </c>
      <c r="H207" s="1" t="s">
        <v>677</v>
      </c>
      <c r="I207" s="1"/>
    </row>
    <row r="208" spans="1:9" x14ac:dyDescent="0.35">
      <c r="A208" s="1" t="s">
        <v>107</v>
      </c>
      <c r="B208" s="1"/>
      <c r="C208" s="1" t="s">
        <v>661</v>
      </c>
      <c r="D208" s="1">
        <v>3025720002001</v>
      </c>
      <c r="E208" s="1" t="s">
        <v>669</v>
      </c>
      <c r="F208" s="1"/>
      <c r="G208" s="1">
        <v>33750</v>
      </c>
      <c r="H208" s="1" t="s">
        <v>108</v>
      </c>
      <c r="I208" s="1"/>
    </row>
    <row r="209" spans="1:9" x14ac:dyDescent="0.35">
      <c r="A209" s="1" t="s">
        <v>107</v>
      </c>
      <c r="B209" s="1"/>
      <c r="C209" s="1" t="s">
        <v>662</v>
      </c>
      <c r="D209" s="1">
        <v>3025720002000</v>
      </c>
      <c r="E209" s="1" t="s">
        <v>669</v>
      </c>
      <c r="F209" s="1" t="s">
        <v>672</v>
      </c>
      <c r="G209" s="1">
        <v>33750</v>
      </c>
      <c r="H209" s="1" t="s">
        <v>108</v>
      </c>
      <c r="I209" s="1"/>
    </row>
    <row r="210" spans="1:9" x14ac:dyDescent="0.35">
      <c r="A210" s="1" t="s">
        <v>107</v>
      </c>
      <c r="B210" s="1"/>
      <c r="C210" s="1" t="s">
        <v>663</v>
      </c>
      <c r="D210" s="1">
        <v>3025720009505</v>
      </c>
      <c r="E210" s="1" t="s">
        <v>669</v>
      </c>
      <c r="F210" s="1"/>
      <c r="G210" s="1">
        <v>33750</v>
      </c>
      <c r="H210" s="1" t="s">
        <v>108</v>
      </c>
      <c r="I210" s="1"/>
    </row>
    <row r="211" spans="1:9" x14ac:dyDescent="0.35">
      <c r="A211" s="1" t="s">
        <v>107</v>
      </c>
      <c r="B211" s="1"/>
      <c r="C211" s="1" t="s">
        <v>664</v>
      </c>
      <c r="D211" s="1">
        <v>3025720009500</v>
      </c>
      <c r="E211" s="1" t="s">
        <v>669</v>
      </c>
      <c r="F211" s="1" t="s">
        <v>672</v>
      </c>
      <c r="G211" s="1">
        <v>33750</v>
      </c>
      <c r="H211" s="1" t="s">
        <v>109</v>
      </c>
      <c r="I211" s="1"/>
    </row>
    <row r="212" spans="1:9" x14ac:dyDescent="0.35">
      <c r="A212" s="1" t="s">
        <v>107</v>
      </c>
      <c r="B212" s="1"/>
      <c r="C212" s="1" t="s">
        <v>665</v>
      </c>
      <c r="D212" s="1">
        <v>3025720006000</v>
      </c>
      <c r="E212" s="1" t="s">
        <v>671</v>
      </c>
      <c r="F212" s="1" t="s">
        <v>675</v>
      </c>
      <c r="G212" s="1">
        <v>33612</v>
      </c>
      <c r="H212" s="1" t="s">
        <v>677</v>
      </c>
      <c r="I212" s="1"/>
    </row>
    <row r="213" spans="1:9" x14ac:dyDescent="0.35">
      <c r="A213" s="1" t="s">
        <v>110</v>
      </c>
      <c r="B213" s="1" t="s">
        <v>678</v>
      </c>
      <c r="C213" s="1" t="s">
        <v>679</v>
      </c>
      <c r="D213" s="1">
        <v>5900000035307</v>
      </c>
      <c r="E213" s="1" t="s">
        <v>685</v>
      </c>
      <c r="F213" s="1" t="s">
        <v>691</v>
      </c>
      <c r="G213" s="1">
        <v>59496</v>
      </c>
      <c r="H213" s="1" t="s">
        <v>111</v>
      </c>
      <c r="I213" s="1" t="s">
        <v>695</v>
      </c>
    </row>
    <row r="214" spans="1:9" x14ac:dyDescent="0.35">
      <c r="A214" s="1" t="s">
        <v>110</v>
      </c>
      <c r="B214" s="1"/>
      <c r="C214" s="1" t="s">
        <v>680</v>
      </c>
      <c r="D214" s="1">
        <v>5900000035215</v>
      </c>
      <c r="E214" s="1" t="s">
        <v>686</v>
      </c>
      <c r="F214" s="1" t="s">
        <v>692</v>
      </c>
      <c r="G214" s="1">
        <v>62220</v>
      </c>
      <c r="H214" s="1" t="s">
        <v>112</v>
      </c>
      <c r="I214" s="1" t="s">
        <v>696</v>
      </c>
    </row>
    <row r="215" spans="1:9" x14ac:dyDescent="0.35">
      <c r="A215" s="1" t="s">
        <v>110</v>
      </c>
      <c r="B215" s="1"/>
      <c r="C215" s="1" t="s">
        <v>681</v>
      </c>
      <c r="D215" s="1">
        <v>5900000035178</v>
      </c>
      <c r="E215" s="1" t="s">
        <v>687</v>
      </c>
      <c r="F215" s="1" t="s">
        <v>693</v>
      </c>
      <c r="G215" s="1" t="s">
        <v>114</v>
      </c>
      <c r="H215" s="1" t="s">
        <v>113</v>
      </c>
      <c r="I215" s="1" t="s">
        <v>697</v>
      </c>
    </row>
    <row r="216" spans="1:9" x14ac:dyDescent="0.35">
      <c r="A216" s="1" t="s">
        <v>110</v>
      </c>
      <c r="B216" s="1"/>
      <c r="C216" s="1" t="s">
        <v>682</v>
      </c>
      <c r="D216" s="1">
        <v>5900000035185</v>
      </c>
      <c r="E216" s="1" t="s">
        <v>688</v>
      </c>
      <c r="F216" s="1" t="s">
        <v>694</v>
      </c>
      <c r="G216" s="1" t="s">
        <v>116</v>
      </c>
      <c r="H216" s="1" t="s">
        <v>115</v>
      </c>
      <c r="I216" s="1"/>
    </row>
    <row r="217" spans="1:9" x14ac:dyDescent="0.35">
      <c r="A217" s="1" t="s">
        <v>110</v>
      </c>
      <c r="B217" s="1"/>
      <c r="C217" s="1" t="s">
        <v>683</v>
      </c>
      <c r="D217" s="1">
        <v>5900000035161</v>
      </c>
      <c r="E217" s="1" t="s">
        <v>689</v>
      </c>
      <c r="F217" s="1"/>
      <c r="G217" s="1" t="s">
        <v>117</v>
      </c>
      <c r="H217" s="1" t="s">
        <v>118</v>
      </c>
      <c r="I217" s="1" t="s">
        <v>119</v>
      </c>
    </row>
    <row r="218" spans="1:9" x14ac:dyDescent="0.35">
      <c r="A218" s="1" t="s">
        <v>110</v>
      </c>
      <c r="B218" s="1"/>
      <c r="C218" s="1" t="s">
        <v>684</v>
      </c>
      <c r="D218" s="1">
        <v>5900000035192</v>
      </c>
      <c r="E218" s="1" t="s">
        <v>690</v>
      </c>
      <c r="F218" s="1"/>
      <c r="G218" s="1">
        <v>5816</v>
      </c>
      <c r="H218" s="1" t="s">
        <v>120</v>
      </c>
      <c r="I218" s="1"/>
    </row>
    <row r="219" spans="1:9" x14ac:dyDescent="0.35">
      <c r="A219" s="1" t="s">
        <v>121</v>
      </c>
      <c r="B219" s="1" t="s">
        <v>698</v>
      </c>
      <c r="C219" s="1" t="s">
        <v>699</v>
      </c>
      <c r="D219" s="1">
        <v>3025690000502</v>
      </c>
      <c r="E219" s="1" t="s">
        <v>717</v>
      </c>
      <c r="F219" s="1" t="s">
        <v>727</v>
      </c>
      <c r="G219" s="1">
        <v>72450</v>
      </c>
      <c r="H219" s="1" t="s">
        <v>732</v>
      </c>
      <c r="I219" s="1"/>
    </row>
    <row r="220" spans="1:9" x14ac:dyDescent="0.35">
      <c r="A220" s="1" t="s">
        <v>121</v>
      </c>
      <c r="B220" s="1"/>
      <c r="C220" s="1" t="s">
        <v>700</v>
      </c>
      <c r="D220" s="1">
        <v>3025690000137</v>
      </c>
      <c r="E220" s="1" t="s">
        <v>718</v>
      </c>
      <c r="F220" s="1" t="s">
        <v>728</v>
      </c>
      <c r="G220" s="1">
        <v>72470</v>
      </c>
      <c r="H220" s="1" t="s">
        <v>88</v>
      </c>
      <c r="I220" s="1"/>
    </row>
    <row r="221" spans="1:9" x14ac:dyDescent="0.35">
      <c r="A221" s="1" t="s">
        <v>121</v>
      </c>
      <c r="B221" s="1"/>
      <c r="C221" s="1" t="s">
        <v>701</v>
      </c>
      <c r="D221" s="1">
        <v>3025690000328</v>
      </c>
      <c r="E221" s="1" t="s">
        <v>719</v>
      </c>
      <c r="F221" s="1" t="s">
        <v>728</v>
      </c>
      <c r="G221" s="1">
        <v>72470</v>
      </c>
      <c r="H221" s="1" t="s">
        <v>88</v>
      </c>
      <c r="I221" s="1"/>
    </row>
    <row r="222" spans="1:9" x14ac:dyDescent="0.35">
      <c r="A222" s="1" t="s">
        <v>121</v>
      </c>
      <c r="B222" s="1"/>
      <c r="C222" s="1" t="s">
        <v>702</v>
      </c>
      <c r="D222" s="1">
        <v>3025690000076</v>
      </c>
      <c r="E222" s="1" t="s">
        <v>718</v>
      </c>
      <c r="F222" s="1" t="s">
        <v>728</v>
      </c>
      <c r="G222" s="1">
        <v>72470</v>
      </c>
      <c r="H222" s="1" t="s">
        <v>88</v>
      </c>
      <c r="I222" s="1"/>
    </row>
    <row r="223" spans="1:9" x14ac:dyDescent="0.35">
      <c r="A223" s="1" t="s">
        <v>121</v>
      </c>
      <c r="B223" s="1"/>
      <c r="C223" s="1" t="s">
        <v>703</v>
      </c>
      <c r="D223" s="1">
        <v>3025690000014</v>
      </c>
      <c r="E223" s="1" t="s">
        <v>122</v>
      </c>
      <c r="F223" s="1" t="s">
        <v>728</v>
      </c>
      <c r="G223" s="1">
        <v>72470</v>
      </c>
      <c r="H223" s="1" t="s">
        <v>88</v>
      </c>
      <c r="I223" s="1"/>
    </row>
    <row r="224" spans="1:9" x14ac:dyDescent="0.35">
      <c r="A224" s="1" t="s">
        <v>121</v>
      </c>
      <c r="B224" s="1"/>
      <c r="C224" s="1" t="s">
        <v>704</v>
      </c>
      <c r="D224" s="1">
        <v>3025690000106</v>
      </c>
      <c r="E224" s="1" t="s">
        <v>720</v>
      </c>
      <c r="F224" s="1" t="s">
        <v>728</v>
      </c>
      <c r="G224" s="1">
        <v>72470</v>
      </c>
      <c r="H224" s="1" t="s">
        <v>88</v>
      </c>
      <c r="I224" s="1"/>
    </row>
    <row r="225" spans="1:9" x14ac:dyDescent="0.35">
      <c r="A225" s="1" t="s">
        <v>121</v>
      </c>
      <c r="B225" s="1"/>
      <c r="C225" s="1" t="s">
        <v>705</v>
      </c>
      <c r="D225" s="1">
        <v>3025690000410</v>
      </c>
      <c r="E225" s="1" t="s">
        <v>718</v>
      </c>
      <c r="F225" s="1" t="s">
        <v>728</v>
      </c>
      <c r="G225" s="1">
        <v>72470</v>
      </c>
      <c r="H225" s="1" t="s">
        <v>88</v>
      </c>
      <c r="I225" s="1"/>
    </row>
    <row r="226" spans="1:9" x14ac:dyDescent="0.35">
      <c r="A226" s="1" t="s">
        <v>121</v>
      </c>
      <c r="B226" s="1"/>
      <c r="C226" s="1" t="s">
        <v>706</v>
      </c>
      <c r="D226" s="1">
        <v>3025690000335</v>
      </c>
      <c r="E226" s="1" t="s">
        <v>719</v>
      </c>
      <c r="F226" s="1" t="s">
        <v>728</v>
      </c>
      <c r="G226" s="1">
        <v>72470</v>
      </c>
      <c r="H226" s="1" t="s">
        <v>88</v>
      </c>
      <c r="I226" s="1"/>
    </row>
    <row r="227" spans="1:9" x14ac:dyDescent="0.35">
      <c r="A227" s="1" t="s">
        <v>121</v>
      </c>
      <c r="B227" s="1"/>
      <c r="C227" s="1" t="s">
        <v>707</v>
      </c>
      <c r="D227" s="1">
        <v>3025690000090</v>
      </c>
      <c r="E227" s="1" t="s">
        <v>719</v>
      </c>
      <c r="F227" s="1" t="s">
        <v>728</v>
      </c>
      <c r="G227" s="1">
        <v>72470</v>
      </c>
      <c r="H227" s="1" t="s">
        <v>88</v>
      </c>
      <c r="I227" s="1"/>
    </row>
    <row r="228" spans="1:9" x14ac:dyDescent="0.35">
      <c r="A228" s="1" t="s">
        <v>121</v>
      </c>
      <c r="B228" s="1"/>
      <c r="C228" s="1" t="s">
        <v>708</v>
      </c>
      <c r="D228" s="1">
        <v>3025690000342</v>
      </c>
      <c r="E228" s="1" t="s">
        <v>719</v>
      </c>
      <c r="F228" s="1" t="s">
        <v>728</v>
      </c>
      <c r="G228" s="1">
        <v>72470</v>
      </c>
      <c r="H228" s="1" t="s">
        <v>88</v>
      </c>
      <c r="I228" s="1"/>
    </row>
    <row r="229" spans="1:9" x14ac:dyDescent="0.35">
      <c r="A229" s="1" t="s">
        <v>121</v>
      </c>
      <c r="B229" s="1"/>
      <c r="C229" s="1" t="s">
        <v>709</v>
      </c>
      <c r="D229" s="1">
        <v>3025690000205</v>
      </c>
      <c r="E229" s="1" t="s">
        <v>721</v>
      </c>
      <c r="F229" s="1" t="s">
        <v>728</v>
      </c>
      <c r="G229" s="1">
        <v>72470</v>
      </c>
      <c r="H229" s="1" t="s">
        <v>88</v>
      </c>
      <c r="I229" s="1"/>
    </row>
    <row r="230" spans="1:9" x14ac:dyDescent="0.35">
      <c r="A230" s="1" t="s">
        <v>121</v>
      </c>
      <c r="B230" s="1"/>
      <c r="C230" s="1" t="s">
        <v>710</v>
      </c>
      <c r="D230" s="1">
        <v>3025690000069</v>
      </c>
      <c r="E230" s="1" t="s">
        <v>718</v>
      </c>
      <c r="F230" s="1" t="s">
        <v>728</v>
      </c>
      <c r="G230" s="1">
        <v>72470</v>
      </c>
      <c r="H230" s="1" t="s">
        <v>88</v>
      </c>
      <c r="I230" s="1"/>
    </row>
    <row r="231" spans="1:9" x14ac:dyDescent="0.35">
      <c r="A231" s="1" t="s">
        <v>121</v>
      </c>
      <c r="B231" s="1"/>
      <c r="C231" s="1" t="s">
        <v>711</v>
      </c>
      <c r="D231" s="1">
        <v>3025690000151</v>
      </c>
      <c r="E231" s="1" t="s">
        <v>718</v>
      </c>
      <c r="F231" s="1" t="s">
        <v>728</v>
      </c>
      <c r="G231" s="1">
        <v>72470</v>
      </c>
      <c r="H231" s="1" t="s">
        <v>88</v>
      </c>
      <c r="I231" s="1"/>
    </row>
    <row r="232" spans="1:9" x14ac:dyDescent="0.35">
      <c r="A232" s="1" t="s">
        <v>121</v>
      </c>
      <c r="B232" s="1"/>
      <c r="C232" s="1" t="s">
        <v>712</v>
      </c>
      <c r="D232" s="1">
        <v>9999999999994</v>
      </c>
      <c r="E232" s="1" t="s">
        <v>722</v>
      </c>
      <c r="F232" s="1"/>
      <c r="G232" s="1">
        <v>72470</v>
      </c>
      <c r="H232" s="1" t="s">
        <v>88</v>
      </c>
      <c r="I232" s="1"/>
    </row>
    <row r="233" spans="1:9" x14ac:dyDescent="0.35">
      <c r="A233" s="1" t="s">
        <v>121</v>
      </c>
      <c r="B233" s="1"/>
      <c r="C233" s="1" t="s">
        <v>713</v>
      </c>
      <c r="D233" s="1">
        <v>3025690000519</v>
      </c>
      <c r="E233" s="1" t="s">
        <v>723</v>
      </c>
      <c r="F233" s="1" t="s">
        <v>729</v>
      </c>
      <c r="G233" s="1">
        <v>72470</v>
      </c>
      <c r="H233" s="1" t="s">
        <v>88</v>
      </c>
      <c r="I233" s="1"/>
    </row>
    <row r="234" spans="1:9" x14ac:dyDescent="0.35">
      <c r="A234" s="1" t="s">
        <v>121</v>
      </c>
      <c r="B234" s="1"/>
      <c r="C234" s="1" t="s">
        <v>714</v>
      </c>
      <c r="D234" s="1">
        <v>3025690000045</v>
      </c>
      <c r="E234" s="1" t="s">
        <v>724</v>
      </c>
      <c r="F234" s="1" t="s">
        <v>728</v>
      </c>
      <c r="G234" s="1">
        <v>72470</v>
      </c>
      <c r="H234" s="1" t="s">
        <v>88</v>
      </c>
      <c r="I234" s="1"/>
    </row>
    <row r="235" spans="1:9" x14ac:dyDescent="0.35">
      <c r="A235" s="1" t="s">
        <v>121</v>
      </c>
      <c r="B235" s="1"/>
      <c r="C235" s="1" t="s">
        <v>715</v>
      </c>
      <c r="D235" s="1">
        <v>3025690000557</v>
      </c>
      <c r="E235" s="1" t="s">
        <v>725</v>
      </c>
      <c r="F235" s="1" t="s">
        <v>730</v>
      </c>
      <c r="G235" s="1">
        <v>72370</v>
      </c>
      <c r="H235" s="1" t="s">
        <v>123</v>
      </c>
      <c r="I235" s="1"/>
    </row>
    <row r="236" spans="1:9" x14ac:dyDescent="0.35">
      <c r="A236" s="1" t="s">
        <v>121</v>
      </c>
      <c r="B236" s="1"/>
      <c r="C236" s="1" t="s">
        <v>716</v>
      </c>
      <c r="D236" s="1">
        <v>3025690000908</v>
      </c>
      <c r="E236" s="1" t="s">
        <v>726</v>
      </c>
      <c r="F236" s="1" t="s">
        <v>731</v>
      </c>
      <c r="G236" s="1">
        <v>72230</v>
      </c>
      <c r="H236" s="1" t="s">
        <v>733</v>
      </c>
      <c r="I236" s="1"/>
    </row>
    <row r="237" spans="1:9" s="43" customFormat="1" x14ac:dyDescent="0.35">
      <c r="A237" s="42" t="s">
        <v>124</v>
      </c>
      <c r="B237" s="42" t="s">
        <v>734</v>
      </c>
      <c r="C237" s="42" t="s">
        <v>735</v>
      </c>
      <c r="D237" s="42">
        <v>3025650002409</v>
      </c>
      <c r="E237" s="42" t="s">
        <v>751</v>
      </c>
      <c r="F237" s="42"/>
      <c r="G237" s="42">
        <v>31170</v>
      </c>
      <c r="H237" s="42" t="s">
        <v>125</v>
      </c>
      <c r="I237" s="42"/>
    </row>
    <row r="238" spans="1:9" s="43" customFormat="1" x14ac:dyDescent="0.35">
      <c r="A238" s="42" t="s">
        <v>124</v>
      </c>
      <c r="B238" s="42"/>
      <c r="C238" s="42" t="s">
        <v>736</v>
      </c>
      <c r="D238" s="42">
        <v>9999999999998</v>
      </c>
      <c r="E238" s="42" t="s">
        <v>752</v>
      </c>
      <c r="F238" s="42"/>
      <c r="G238" s="42">
        <v>31170</v>
      </c>
      <c r="H238" s="42" t="s">
        <v>125</v>
      </c>
      <c r="I238" s="42" t="s">
        <v>765</v>
      </c>
    </row>
    <row r="239" spans="1:9" s="43" customFormat="1" x14ac:dyDescent="0.35">
      <c r="A239" s="42" t="s">
        <v>124</v>
      </c>
      <c r="B239" s="42"/>
      <c r="C239" s="42" t="s">
        <v>737</v>
      </c>
      <c r="D239" s="42">
        <v>3025650000108</v>
      </c>
      <c r="E239" s="42" t="s">
        <v>753</v>
      </c>
      <c r="F239" s="42"/>
      <c r="G239" s="42">
        <v>31170</v>
      </c>
      <c r="H239" s="42" t="s">
        <v>125</v>
      </c>
      <c r="I239" s="42" t="s">
        <v>766</v>
      </c>
    </row>
    <row r="240" spans="1:9" s="43" customFormat="1" x14ac:dyDescent="0.35">
      <c r="A240" s="42" t="s">
        <v>124</v>
      </c>
      <c r="B240" s="42"/>
      <c r="C240" s="42" t="s">
        <v>738</v>
      </c>
      <c r="D240" s="42">
        <v>3025650002300</v>
      </c>
      <c r="E240" s="42" t="s">
        <v>753</v>
      </c>
      <c r="F240" s="42"/>
      <c r="G240" s="42">
        <v>31170</v>
      </c>
      <c r="H240" s="42" t="s">
        <v>125</v>
      </c>
      <c r="I240" s="42"/>
    </row>
    <row r="241" spans="1:9" s="43" customFormat="1" x14ac:dyDescent="0.35">
      <c r="A241" s="42" t="s">
        <v>124</v>
      </c>
      <c r="B241" s="42"/>
      <c r="C241" s="42" t="s">
        <v>739</v>
      </c>
      <c r="D241" s="42">
        <v>3025650002201</v>
      </c>
      <c r="E241" s="42" t="s">
        <v>751</v>
      </c>
      <c r="F241" s="42"/>
      <c r="G241" s="42">
        <v>31170</v>
      </c>
      <c r="H241" s="42" t="s">
        <v>125</v>
      </c>
      <c r="I241" s="42"/>
    </row>
    <row r="242" spans="1:9" s="43" customFormat="1" x14ac:dyDescent="0.35">
      <c r="A242" s="42" t="s">
        <v>124</v>
      </c>
      <c r="B242" s="42"/>
      <c r="C242" s="42" t="s">
        <v>740</v>
      </c>
      <c r="D242" s="42">
        <v>3025650002904</v>
      </c>
      <c r="E242" s="42" t="s">
        <v>754</v>
      </c>
      <c r="F242" s="42"/>
      <c r="G242" s="42">
        <v>82170</v>
      </c>
      <c r="H242" s="42" t="s">
        <v>126</v>
      </c>
      <c r="I242" s="42" t="s">
        <v>767</v>
      </c>
    </row>
    <row r="243" spans="1:9" s="43" customFormat="1" x14ac:dyDescent="0.35">
      <c r="A243" s="42" t="s">
        <v>124</v>
      </c>
      <c r="B243" s="42"/>
      <c r="C243" s="42" t="s">
        <v>741</v>
      </c>
      <c r="D243" s="42">
        <v>3025650003604</v>
      </c>
      <c r="E243" s="42" t="s">
        <v>755</v>
      </c>
      <c r="F243" s="42"/>
      <c r="G243" s="42">
        <v>31170</v>
      </c>
      <c r="H243" s="42" t="s">
        <v>127</v>
      </c>
      <c r="I243" s="42"/>
    </row>
    <row r="244" spans="1:9" s="43" customFormat="1" x14ac:dyDescent="0.35">
      <c r="A244" s="42" t="s">
        <v>124</v>
      </c>
      <c r="B244" s="42"/>
      <c r="C244" s="42" t="s">
        <v>742</v>
      </c>
      <c r="D244" s="42">
        <v>3025650003703</v>
      </c>
      <c r="E244" s="42" t="s">
        <v>755</v>
      </c>
      <c r="F244" s="42"/>
      <c r="G244" s="42">
        <v>31170</v>
      </c>
      <c r="H244" s="42" t="s">
        <v>127</v>
      </c>
      <c r="I244" s="42"/>
    </row>
    <row r="245" spans="1:9" s="43" customFormat="1" x14ac:dyDescent="0.35">
      <c r="A245" s="42" t="s">
        <v>124</v>
      </c>
      <c r="B245" s="42"/>
      <c r="C245" s="42" t="s">
        <v>743</v>
      </c>
      <c r="D245" s="42">
        <v>3025650003802</v>
      </c>
      <c r="E245" s="42" t="s">
        <v>755</v>
      </c>
      <c r="F245" s="42"/>
      <c r="G245" s="42">
        <v>31170</v>
      </c>
      <c r="H245" s="42" t="s">
        <v>127</v>
      </c>
      <c r="I245" s="42"/>
    </row>
    <row r="246" spans="1:9" s="43" customFormat="1" x14ac:dyDescent="0.35">
      <c r="A246" s="42" t="s">
        <v>124</v>
      </c>
      <c r="B246" s="42"/>
      <c r="C246" s="42" t="s">
        <v>744</v>
      </c>
      <c r="D246" s="42">
        <v>3025650003901</v>
      </c>
      <c r="E246" s="42" t="s">
        <v>755</v>
      </c>
      <c r="F246" s="42"/>
      <c r="G246" s="42">
        <v>31170</v>
      </c>
      <c r="H246" s="42" t="s">
        <v>127</v>
      </c>
      <c r="I246" s="42"/>
    </row>
    <row r="247" spans="1:9" s="43" customFormat="1" x14ac:dyDescent="0.35">
      <c r="A247" s="42" t="s">
        <v>124</v>
      </c>
      <c r="B247" s="42"/>
      <c r="C247" s="42" t="s">
        <v>745</v>
      </c>
      <c r="D247" s="42">
        <v>3025650002706</v>
      </c>
      <c r="E247" s="42" t="s">
        <v>756</v>
      </c>
      <c r="F247" s="42" t="s">
        <v>759</v>
      </c>
      <c r="G247" s="42">
        <v>31830</v>
      </c>
      <c r="H247" s="42" t="s">
        <v>762</v>
      </c>
      <c r="I247" s="42"/>
    </row>
    <row r="248" spans="1:9" s="43" customFormat="1" x14ac:dyDescent="0.35">
      <c r="A248" s="42" t="s">
        <v>124</v>
      </c>
      <c r="B248" s="42"/>
      <c r="C248" s="42" t="s">
        <v>746</v>
      </c>
      <c r="D248" s="42">
        <v>3025650002805</v>
      </c>
      <c r="E248" s="42" t="s">
        <v>757</v>
      </c>
      <c r="F248" s="42" t="s">
        <v>760</v>
      </c>
      <c r="G248" s="42">
        <v>31620</v>
      </c>
      <c r="H248" s="42" t="s">
        <v>763</v>
      </c>
      <c r="I248" s="42"/>
    </row>
    <row r="249" spans="1:9" s="43" customFormat="1" x14ac:dyDescent="0.35">
      <c r="A249" s="42" t="s">
        <v>124</v>
      </c>
      <c r="B249" s="42"/>
      <c r="C249" s="42" t="s">
        <v>747</v>
      </c>
      <c r="D249" s="42">
        <v>3025650007107</v>
      </c>
      <c r="E249" s="42" t="s">
        <v>758</v>
      </c>
      <c r="F249" s="42" t="s">
        <v>761</v>
      </c>
      <c r="G249" s="42">
        <v>47240</v>
      </c>
      <c r="H249" s="42" t="s">
        <v>764</v>
      </c>
      <c r="I249" s="42"/>
    </row>
    <row r="250" spans="1:9" s="43" customFormat="1" x14ac:dyDescent="0.35">
      <c r="A250" s="42" t="s">
        <v>124</v>
      </c>
      <c r="B250" s="42"/>
      <c r="C250" s="42" t="s">
        <v>748</v>
      </c>
      <c r="D250" s="42">
        <v>3025650002102</v>
      </c>
      <c r="E250" s="42" t="s">
        <v>753</v>
      </c>
      <c r="F250" s="42"/>
      <c r="G250" s="42">
        <v>31170</v>
      </c>
      <c r="H250" s="42" t="s">
        <v>125</v>
      </c>
      <c r="I250" s="42" t="s">
        <v>765</v>
      </c>
    </row>
    <row r="251" spans="1:9" s="43" customFormat="1" x14ac:dyDescent="0.35">
      <c r="A251" s="42" t="s">
        <v>124</v>
      </c>
      <c r="B251" s="42"/>
      <c r="C251" s="42" t="s">
        <v>749</v>
      </c>
      <c r="D251" s="42">
        <v>3025650002607</v>
      </c>
      <c r="E251" s="42" t="s">
        <v>751</v>
      </c>
      <c r="F251" s="42"/>
      <c r="G251" s="42">
        <v>31170</v>
      </c>
      <c r="H251" s="42" t="s">
        <v>125</v>
      </c>
      <c r="I251" s="42"/>
    </row>
    <row r="252" spans="1:9" s="43" customFormat="1" x14ac:dyDescent="0.35">
      <c r="A252" s="42" t="s">
        <v>124</v>
      </c>
      <c r="B252" s="42"/>
      <c r="C252" s="42" t="s">
        <v>750</v>
      </c>
      <c r="D252" s="42">
        <v>3025650002508</v>
      </c>
      <c r="E252" s="42" t="s">
        <v>751</v>
      </c>
      <c r="F252" s="42"/>
      <c r="G252" s="42">
        <v>31170</v>
      </c>
      <c r="H252" s="42" t="s">
        <v>125</v>
      </c>
      <c r="I252" s="42"/>
    </row>
    <row r="253" spans="1:9" x14ac:dyDescent="0.35">
      <c r="A253" s="1" t="s">
        <v>128</v>
      </c>
      <c r="B253" s="1" t="s">
        <v>768</v>
      </c>
      <c r="C253" s="1" t="s">
        <v>769</v>
      </c>
      <c r="D253" s="1">
        <v>3025500000104</v>
      </c>
      <c r="E253" s="1" t="s">
        <v>774</v>
      </c>
      <c r="F253" s="1" t="s">
        <v>779</v>
      </c>
      <c r="G253" s="1">
        <v>38070</v>
      </c>
      <c r="H253" s="1" t="s">
        <v>781</v>
      </c>
      <c r="I253" s="1"/>
    </row>
    <row r="254" spans="1:9" x14ac:dyDescent="0.35">
      <c r="A254" s="1" t="s">
        <v>128</v>
      </c>
      <c r="B254" s="1"/>
      <c r="C254" s="1" t="s">
        <v>770</v>
      </c>
      <c r="D254" s="1">
        <v>3025500050062</v>
      </c>
      <c r="E254" s="1" t="s">
        <v>775</v>
      </c>
      <c r="F254" s="1" t="s">
        <v>780</v>
      </c>
      <c r="G254" s="1">
        <v>38070</v>
      </c>
      <c r="H254" s="1" t="s">
        <v>782</v>
      </c>
      <c r="I254" s="1"/>
    </row>
    <row r="255" spans="1:9" x14ac:dyDescent="0.35">
      <c r="A255" s="1" t="s">
        <v>128</v>
      </c>
      <c r="B255" s="1"/>
      <c r="C255" s="1" t="s">
        <v>771</v>
      </c>
      <c r="D255" s="1">
        <v>3025500050130</v>
      </c>
      <c r="E255" s="1" t="s">
        <v>776</v>
      </c>
      <c r="F255" s="1"/>
      <c r="G255" s="1">
        <v>38280</v>
      </c>
      <c r="H255" s="1" t="s">
        <v>129</v>
      </c>
      <c r="I255" s="1"/>
    </row>
    <row r="256" spans="1:9" x14ac:dyDescent="0.35">
      <c r="A256" s="1" t="s">
        <v>128</v>
      </c>
      <c r="B256" s="1"/>
      <c r="C256" s="1" t="s">
        <v>772</v>
      </c>
      <c r="D256" s="1">
        <v>3025500050178</v>
      </c>
      <c r="E256" s="1" t="s">
        <v>777</v>
      </c>
      <c r="F256" s="1" t="s">
        <v>776</v>
      </c>
      <c r="G256" s="1">
        <v>38280</v>
      </c>
      <c r="H256" s="1" t="s">
        <v>130</v>
      </c>
      <c r="I256" s="1"/>
    </row>
    <row r="257" spans="1:9" x14ac:dyDescent="0.35">
      <c r="A257" s="1" t="s">
        <v>128</v>
      </c>
      <c r="B257" s="1"/>
      <c r="C257" s="1" t="s">
        <v>773</v>
      </c>
      <c r="D257" s="1">
        <v>3025500050192</v>
      </c>
      <c r="E257" s="1" t="s">
        <v>778</v>
      </c>
      <c r="F257" s="1" t="s">
        <v>776</v>
      </c>
      <c r="G257" s="1">
        <v>38280</v>
      </c>
      <c r="H257" s="1" t="s">
        <v>130</v>
      </c>
      <c r="I257" s="1"/>
    </row>
    <row r="258" spans="1:9" s="5" customFormat="1" x14ac:dyDescent="0.35">
      <c r="A258" s="4" t="s">
        <v>131</v>
      </c>
      <c r="B258" s="4" t="s">
        <v>783</v>
      </c>
      <c r="C258" s="4" t="s">
        <v>131</v>
      </c>
      <c r="D258" s="4">
        <v>3015243800100</v>
      </c>
      <c r="E258" s="4" t="s">
        <v>784</v>
      </c>
      <c r="F258" s="4" t="s">
        <v>785</v>
      </c>
      <c r="G258" s="4">
        <v>33750</v>
      </c>
      <c r="H258" s="4" t="s">
        <v>786</v>
      </c>
      <c r="I258" s="4" t="s">
        <v>132</v>
      </c>
    </row>
    <row r="259" spans="1:9" x14ac:dyDescent="0.35">
      <c r="A259" s="1" t="s">
        <v>131</v>
      </c>
      <c r="B259" s="1"/>
      <c r="C259" s="1" t="s">
        <v>131</v>
      </c>
      <c r="D259" s="1">
        <v>3015243804000</v>
      </c>
      <c r="E259" s="1" t="s">
        <v>784</v>
      </c>
      <c r="F259" s="1" t="s">
        <v>785</v>
      </c>
      <c r="G259" s="1">
        <v>33750</v>
      </c>
      <c r="H259" s="1" t="s">
        <v>786</v>
      </c>
      <c r="I259" s="1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5A9E0FAC72A9429680825912196A38" ma:contentTypeVersion="23" ma:contentTypeDescription="Crée un document." ma:contentTypeScope="" ma:versionID="39424ca9117c5640d89a86431f6c4865">
  <xsd:schema xmlns:xsd="http://www.w3.org/2001/XMLSchema" xmlns:xs="http://www.w3.org/2001/XMLSchema" xmlns:p="http://schemas.microsoft.com/office/2006/metadata/properties" xmlns:ns2="e1403aa2-4fa8-4ae2-bcc8-5488532b9b35" xmlns:ns3="3315eae8-65ab-4159-9bc9-c38474608e84" targetNamespace="http://schemas.microsoft.com/office/2006/metadata/properties" ma:root="true" ma:fieldsID="86300a0b6037893e7330ec5eabe203e9" ns2:_="" ns3:_="">
    <xsd:import namespace="e1403aa2-4fa8-4ae2-bcc8-5488532b9b35"/>
    <xsd:import namespace="3315eae8-65ab-4159-9bc9-c38474608e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Emplacement" minOccurs="0"/>
                <xsd:element ref="ns2:b18b35e0-c42d-44e0-a975-aee8199c2772CountryOrRegion" minOccurs="0"/>
                <xsd:element ref="ns2:b18b35e0-c42d-44e0-a975-aee8199c2772State" minOccurs="0"/>
                <xsd:element ref="ns2:b18b35e0-c42d-44e0-a975-aee8199c2772City" minOccurs="0"/>
                <xsd:element ref="ns2:b18b35e0-c42d-44e0-a975-aee8199c2772PostalCode" minOccurs="0"/>
                <xsd:element ref="ns2:b18b35e0-c42d-44e0-a975-aee8199c2772Street" minOccurs="0"/>
                <xsd:element ref="ns2:b18b35e0-c42d-44e0-a975-aee8199c2772GeoLoc" minOccurs="0"/>
                <xsd:element ref="ns2:b18b35e0-c42d-44e0-a975-aee8199c2772DispName" minOccurs="0"/>
                <xsd:element ref="ns2:DC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03aa2-4fa8-4ae2-bcc8-5488532b9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927d621-4b62-4796-a176-68d64a74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mplacement" ma:index="22" nillable="true" ma:displayName="Emplacement" ma:format="Dropdown" ma:internalName="Emplacement">
      <xsd:simpleType>
        <xsd:restriction base="dms:Unknown"/>
      </xsd:simpleType>
    </xsd:element>
    <xsd:element name="b18b35e0-c42d-44e0-a975-aee8199c2772CountryOrRegion" ma:index="23" nillable="true" ma:displayName="Emplacement : Pays/région" ma:internalName="CountryOrRegion" ma:readOnly="true">
      <xsd:simpleType>
        <xsd:restriction base="dms:Text"/>
      </xsd:simpleType>
    </xsd:element>
    <xsd:element name="b18b35e0-c42d-44e0-a975-aee8199c2772State" ma:index="24" nillable="true" ma:displayName="Emplacement : État" ma:internalName="State" ma:readOnly="true">
      <xsd:simpleType>
        <xsd:restriction base="dms:Text"/>
      </xsd:simpleType>
    </xsd:element>
    <xsd:element name="b18b35e0-c42d-44e0-a975-aee8199c2772City" ma:index="25" nillable="true" ma:displayName="Emplacement : Ville" ma:internalName="City" ma:readOnly="true">
      <xsd:simpleType>
        <xsd:restriction base="dms:Text"/>
      </xsd:simpleType>
    </xsd:element>
    <xsd:element name="b18b35e0-c42d-44e0-a975-aee8199c2772PostalCode" ma:index="26" nillable="true" ma:displayName="Emplacement : Code postal" ma:internalName="PostalCode" ma:readOnly="true">
      <xsd:simpleType>
        <xsd:restriction base="dms:Text"/>
      </xsd:simpleType>
    </xsd:element>
    <xsd:element name="b18b35e0-c42d-44e0-a975-aee8199c2772Street" ma:index="27" nillable="true" ma:displayName="Emplacement : Rue" ma:internalName="Street" ma:readOnly="true">
      <xsd:simpleType>
        <xsd:restriction base="dms:Text"/>
      </xsd:simpleType>
    </xsd:element>
    <xsd:element name="b18b35e0-c42d-44e0-a975-aee8199c2772GeoLoc" ma:index="28" nillable="true" ma:displayName="Emplacement : Coordonnées" ma:internalName="GeoLoc" ma:readOnly="true">
      <xsd:simpleType>
        <xsd:restriction base="dms:Unknown"/>
      </xsd:simpleType>
    </xsd:element>
    <xsd:element name="b18b35e0-c42d-44e0-a975-aee8199c2772DispName" ma:index="29" nillable="true" ma:displayName="Emplacement : nom" ma:internalName="DispName" ma:readOnly="true">
      <xsd:simpleType>
        <xsd:restriction base="dms:Text"/>
      </xsd:simpleType>
    </xsd:element>
    <xsd:element name="DCO" ma:index="30" nillable="true" ma:displayName="DCO" ma:default="DCO" ma:format="Dropdown" ma:internalName="DC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5eae8-65ab-4159-9bc9-c38474608e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059a8a-44f2-48b1-835b-837be31ca676}" ma:internalName="TaxCatchAll" ma:showField="CatchAllData" ma:web="3315eae8-65ab-4159-9bc9-c38474608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403aa2-4fa8-4ae2-bcc8-5488532b9b35">
      <Terms xmlns="http://schemas.microsoft.com/office/infopath/2007/PartnerControls"/>
    </lcf76f155ced4ddcb4097134ff3c332f>
    <TaxCatchAll xmlns="3315eae8-65ab-4159-9bc9-c38474608e84" xsi:nil="true"/>
    <DCO xmlns="e1403aa2-4fa8-4ae2-bcc8-5488532b9b35">DCO</DCO>
    <Emplacement xmlns="e1403aa2-4fa8-4ae2-bcc8-5488532b9b35" xsi:nil="true"/>
  </documentManagement>
</p:properties>
</file>

<file path=customXml/itemProps1.xml><?xml version="1.0" encoding="utf-8"?>
<ds:datastoreItem xmlns:ds="http://schemas.openxmlformats.org/officeDocument/2006/customXml" ds:itemID="{0F2EDE51-3459-429C-936E-2587F16179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9F117-358E-4B90-A50E-64A6F86CF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403aa2-4fa8-4ae2-bcc8-5488532b9b35"/>
    <ds:schemaRef ds:uri="3315eae8-65ab-4159-9bc9-c38474608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752EA-2D74-4EB7-B7A8-8CF354732DAB}">
  <ds:schemaRefs>
    <ds:schemaRef ds:uri="http://schemas.microsoft.com/office/2006/metadata/properties"/>
    <ds:schemaRef ds:uri="http://schemas.microsoft.com/office/infopath/2007/PartnerControls"/>
    <ds:schemaRef ds:uri="e1403aa2-4fa8-4ae2-bcc8-5488532b9b35"/>
    <ds:schemaRef ds:uri="3315eae8-65ab-4159-9bc9-c38474608e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recap</vt:lpstr>
      <vt:lpstr>Feuil1</vt:lpstr>
      <vt:lpstr>Feuil3</vt:lpstr>
      <vt:lpstr>Infrastructures 2023</vt:lpstr>
      <vt:lpstr>adresses 2021</vt:lpstr>
    </vt:vector>
  </TitlesOfParts>
  <Company>GALEC S.C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THEODET</dc:creator>
  <cp:lastModifiedBy>Arthur DEPRET</cp:lastModifiedBy>
  <dcterms:created xsi:type="dcterms:W3CDTF">2018-10-10T17:16:39Z</dcterms:created>
  <dcterms:modified xsi:type="dcterms:W3CDTF">2026-04-22T08:27:07Z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0x0101002C5A9E0FAC72A9429680825912196A38</vt:lpwstr>
  </property>
  <property fmtid="{D5CDD505-2E9C-101B-9397-08002B2CF9AE}" pid="3" name="MediaServiceImageTags">
    <vt:lpwstr/>
  </property>
</Properties>
</file>